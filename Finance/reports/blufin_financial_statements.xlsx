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GL" sheetId="1" state="visible" r:id="rId1"/>
    <sheet name="Summary" sheetId="2" state="visible" r:id="rId2"/>
    <sheet name="P&amp;L" sheetId="3" state="visible" r:id="rId3"/>
    <sheet name="Balance Sheet" sheetId="4" state="visible" r:id="rId4"/>
    <sheet name="Cash 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"/>
    <numFmt numFmtId="166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Customer</a:t>
            </a:r>
          </a:p>
        </rich>
      </tx>
    </title>
    <plotArea>
      <pieChart>
        <varyColors val="1"/>
        <ser>
          <idx val="0"/>
          <order val="0"/>
          <tx>
            <strRef>
              <f>'Summary'!B10</f>
            </strRef>
          </tx>
          <spPr>
            <a:ln>
              <a:prstDash val="solid"/>
            </a:ln>
          </spPr>
          <cat>
            <numRef>
              <f>'Summary'!$A$11</f>
            </numRef>
          </cat>
          <val>
            <numRef>
              <f>'Summary'!$B$11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Rolling Income &amp; Expense Totals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'Summary'!O10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'Summary'!$L$11:$L$14</f>
            </numRef>
          </cat>
          <val>
            <numRef>
              <f>'Summary'!$O$11:$O$14</f>
            </numRef>
          </val>
        </ser>
        <ser>
          <idx val="1"/>
          <order val="1"/>
          <tx>
            <strRef>
              <f>'Summary'!P10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'Summary'!$L$11:$L$14</f>
            </numRef>
          </cat>
          <val>
            <numRef>
              <f>'Summary'!$P$11:$P$14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36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31" customWidth="1" min="4" max="4"/>
    <col width="20" customWidth="1" min="5" max="5"/>
    <col width="10" customWidth="1" min="6" max="6"/>
    <col width="6" customWidth="1" min="7" max="7"/>
    <col width="9" customWidth="1" min="8" max="8"/>
    <col width="31" customWidth="1" min="9" max="9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category</t>
        </is>
      </c>
      <c r="E1" t="inlineStr">
        <is>
          <t>counterparty</t>
        </is>
      </c>
      <c r="F1" t="inlineStr">
        <is>
          <t>account</t>
        </is>
      </c>
      <c r="G1" t="inlineStr">
        <is>
          <t>memo</t>
        </is>
      </c>
      <c r="H1" t="inlineStr">
        <is>
          <t>type</t>
        </is>
      </c>
      <c r="I1" t="inlineStr">
        <is>
          <t>report_name</t>
        </is>
      </c>
    </row>
    <row r="2">
      <c r="A2" t="inlineStr">
        <is>
          <t>2024-12-31</t>
        </is>
      </c>
      <c r="B2" t="inlineStr">
        <is>
          <t>Beginning balance as of 12/31/2024</t>
        </is>
      </c>
      <c r="C2" t="n">
        <v>12330.36</v>
      </c>
      <c r="D2" t="inlineStr">
        <is>
          <t>Retained Earnings</t>
        </is>
      </c>
      <c r="F2" t="inlineStr">
        <is>
          <t>Checking</t>
        </is>
      </c>
      <c r="H2" t="inlineStr">
        <is>
          <t>equity</t>
        </is>
      </c>
      <c r="I2" t="inlineStr">
        <is>
          <t>Retained Earnings</t>
        </is>
      </c>
    </row>
    <row r="3">
      <c r="A3" t="inlineStr">
        <is>
          <t>2025-01-14</t>
        </is>
      </c>
      <c r="B3" t="inlineStr">
        <is>
          <t>Texas Instruments Inc 01/11 PURCHASE Dallas TX DEBIT CARD *6768</t>
        </is>
      </c>
      <c r="C3" t="n">
        <v>-76.75</v>
      </c>
      <c r="D3" t="inlineStr">
        <is>
          <t>Electronic Components</t>
        </is>
      </c>
      <c r="F3" t="inlineStr">
        <is>
          <t>Checking</t>
        </is>
      </c>
      <c r="H3" t="inlineStr">
        <is>
          <t>expense</t>
        </is>
      </c>
      <c r="I3" t="inlineStr">
        <is>
          <t>Electronic Components</t>
        </is>
      </c>
    </row>
    <row r="4">
      <c r="A4" t="inlineStr">
        <is>
          <t>2025-01-21</t>
        </is>
      </c>
      <c r="B4" t="inlineStr">
        <is>
          <t>Precitec7303 DES:PAYMENTS ID: INDN:Blufin Labs, LLC CO ID:XXXXX73030 CCD PMT INFO:REF*Precitec Blufin\</t>
        </is>
      </c>
      <c r="C4" t="n">
        <v>12000</v>
      </c>
      <c r="D4" t="inlineStr">
        <is>
          <t>Consulting Revenue</t>
        </is>
      </c>
      <c r="E4" t="inlineStr">
        <is>
          <t>Precitec</t>
        </is>
      </c>
      <c r="F4" t="inlineStr">
        <is>
          <t>Checking</t>
        </is>
      </c>
      <c r="H4" t="inlineStr">
        <is>
          <t>income</t>
        </is>
      </c>
      <c r="I4" t="inlineStr">
        <is>
          <t>Consulting Revenue</t>
        </is>
      </c>
    </row>
    <row r="5">
      <c r="A5" t="inlineStr">
        <is>
          <t>2025-02-11</t>
        </is>
      </c>
      <c r="B5" t="inlineStr">
        <is>
          <t>Mike Kearny Bill Payment</t>
        </is>
      </c>
      <c r="C5" t="n">
        <v>-2000</v>
      </c>
      <c r="D5" t="inlineStr">
        <is>
          <t>Labor (Consulting)</t>
        </is>
      </c>
      <c r="F5" t="inlineStr">
        <is>
          <t>Checking</t>
        </is>
      </c>
      <c r="H5" t="inlineStr">
        <is>
          <t>expense</t>
        </is>
      </c>
      <c r="I5" t="inlineStr">
        <is>
          <t>Labor (Consulting)</t>
        </is>
      </c>
    </row>
    <row r="6">
      <c r="A6" t="inlineStr">
        <is>
          <t>2025-03-07</t>
        </is>
      </c>
      <c r="B6" t="inlineStr">
        <is>
          <t>PI SHOP INC. 03/06 PURCHASE 302-500-4020 DE DEBIT CARD *6768</t>
        </is>
      </c>
      <c r="C6" t="n">
        <v>-389.49</v>
      </c>
      <c r="D6" t="inlineStr">
        <is>
          <t>Electronic Components</t>
        </is>
      </c>
      <c r="F6" t="inlineStr">
        <is>
          <t>Checking</t>
        </is>
      </c>
      <c r="H6" t="inlineStr">
        <is>
          <t>expense</t>
        </is>
      </c>
      <c r="I6" t="inlineStr">
        <is>
          <t>Electronic Components</t>
        </is>
      </c>
    </row>
    <row r="7">
      <c r="A7" t="inlineStr">
        <is>
          <t>2025-03-18</t>
        </is>
      </c>
      <c r="B7" t="inlineStr">
        <is>
          <t>GITHUB, INC. 03/17 PURCHASE GITHUB.COM CA DEBIT CARD *6768</t>
        </is>
      </c>
      <c r="C7" t="n">
        <v>-48</v>
      </c>
      <c r="D7" t="inlineStr">
        <is>
          <t>Software</t>
        </is>
      </c>
      <c r="F7" t="inlineStr">
        <is>
          <t>Checking</t>
        </is>
      </c>
      <c r="H7" t="inlineStr">
        <is>
          <t>expense</t>
        </is>
      </c>
      <c r="I7" t="inlineStr">
        <is>
          <t>Software</t>
        </is>
      </c>
    </row>
    <row r="8">
      <c r="A8" t="inlineStr">
        <is>
          <t>2025-03-18</t>
        </is>
      </c>
      <c r="B8" t="inlineStr">
        <is>
          <t>Autodesk ADY 03/17 PURCHASE XXX-XX19562 CA DEBIT CARD *6768</t>
        </is>
      </c>
      <c r="C8" t="n">
        <v>-300</v>
      </c>
      <c r="D8" t="inlineStr">
        <is>
          <t>Software</t>
        </is>
      </c>
      <c r="F8" t="inlineStr">
        <is>
          <t>Checking</t>
        </is>
      </c>
      <c r="H8" t="inlineStr">
        <is>
          <t>expense</t>
        </is>
      </c>
      <c r="I8" t="inlineStr">
        <is>
          <t>Software</t>
        </is>
      </c>
    </row>
    <row r="9">
      <c r="A9" t="inlineStr">
        <is>
          <t>2025-03-24</t>
        </is>
      </c>
      <c r="B9" t="inlineStr">
        <is>
          <t>DKC*DIGI KEY CORP 03/21 PURCHASE 800-344-4539 MN DEBIT CARD *6768</t>
        </is>
      </c>
      <c r="C9" t="n">
        <v>-26.23</v>
      </c>
      <c r="D9" t="inlineStr">
        <is>
          <t>Electronic Components</t>
        </is>
      </c>
      <c r="F9" t="inlineStr">
        <is>
          <t>Checking</t>
        </is>
      </c>
      <c r="H9" t="inlineStr">
        <is>
          <t>expense</t>
        </is>
      </c>
      <c r="I9" t="inlineStr">
        <is>
          <t>Electronic Components</t>
        </is>
      </c>
    </row>
    <row r="10">
      <c r="A10" t="inlineStr">
        <is>
          <t>2025-03-24</t>
        </is>
      </c>
      <c r="B10" t="inlineStr">
        <is>
          <t>USPS.COM CLICKNSHIP 03/22 PURCHASE 800-344-7779 DC DEBIT CARD *6768</t>
        </is>
      </c>
      <c r="C10" t="n">
        <v>-65.25</v>
      </c>
      <c r="D10" t="inlineStr">
        <is>
          <t>Shipping Fees</t>
        </is>
      </c>
      <c r="F10" t="inlineStr">
        <is>
          <t>Checking</t>
        </is>
      </c>
      <c r="H10" t="inlineStr">
        <is>
          <t>expense</t>
        </is>
      </c>
      <c r="I10" t="inlineStr">
        <is>
          <t>Shipping Fees</t>
        </is>
      </c>
    </row>
    <row r="11">
      <c r="A11" t="inlineStr">
        <is>
          <t>2025-04-09</t>
        </is>
      </c>
      <c r="B11" t="inlineStr">
        <is>
          <t>THORLABS 04/07 PURCHASE 973-579-7227 NJ DEBIT CARD *6768</t>
        </is>
      </c>
      <c r="C11" t="n">
        <v>-54.64</v>
      </c>
      <c r="D11" t="inlineStr">
        <is>
          <t>Optical Components</t>
        </is>
      </c>
      <c r="F11" t="inlineStr">
        <is>
          <t>Checking</t>
        </is>
      </c>
      <c r="H11" t="inlineStr">
        <is>
          <t>expense</t>
        </is>
      </c>
      <c r="I11" t="inlineStr">
        <is>
          <t>Optical Components</t>
        </is>
      </c>
    </row>
    <row r="12">
      <c r="A12" t="inlineStr">
        <is>
          <t>2025-04-09</t>
        </is>
      </c>
      <c r="B12" t="inlineStr">
        <is>
          <t>THORLABS 04/08 PURCHASE 973-579-7227 NJ DEBIT CARD *6768</t>
        </is>
      </c>
      <c r="C12" t="n">
        <v>-112.4</v>
      </c>
      <c r="D12" t="inlineStr">
        <is>
          <t>Optical Components</t>
        </is>
      </c>
      <c r="F12" t="inlineStr">
        <is>
          <t>Checking</t>
        </is>
      </c>
      <c r="H12" t="inlineStr">
        <is>
          <t>expense</t>
        </is>
      </c>
      <c r="I12" t="inlineStr">
        <is>
          <t>Optical Components</t>
        </is>
      </c>
    </row>
    <row r="13">
      <c r="A13" t="inlineStr">
        <is>
          <t>2025-04-15</t>
        </is>
      </c>
      <c r="B13" t="inlineStr">
        <is>
          <t>SPARK FUN ELECTRONICS I 04/14 PURCHASE SPARKFUN.COM CO DEBIT CARD *6768</t>
        </is>
      </c>
      <c r="C13" t="n">
        <v>-24.54</v>
      </c>
      <c r="D13" t="inlineStr">
        <is>
          <t>Electronic Components</t>
        </is>
      </c>
      <c r="F13" t="inlineStr">
        <is>
          <t>Checking</t>
        </is>
      </c>
      <c r="H13" t="inlineStr">
        <is>
          <t>expense</t>
        </is>
      </c>
      <c r="I13" t="inlineStr">
        <is>
          <t>Electronic Components</t>
        </is>
      </c>
    </row>
    <row r="14">
      <c r="A14" t="inlineStr">
        <is>
          <t>2025-04-15</t>
        </is>
      </c>
      <c r="B14" t="inlineStr">
        <is>
          <t>THORLABS 04/12 PURCHASE 973-579-7227 NJ DEBIT CARD *6768</t>
        </is>
      </c>
      <c r="C14" t="n">
        <v>-196.27</v>
      </c>
      <c r="D14" t="inlineStr">
        <is>
          <t>Optical Components</t>
        </is>
      </c>
      <c r="F14" t="inlineStr">
        <is>
          <t>Checking</t>
        </is>
      </c>
      <c r="H14" t="inlineStr">
        <is>
          <t>expense</t>
        </is>
      </c>
      <c r="I14" t="inlineStr">
        <is>
          <t>Optical Components</t>
        </is>
      </c>
    </row>
    <row r="15">
      <c r="A15" t="inlineStr">
        <is>
          <t>2025-04-15</t>
        </is>
      </c>
      <c r="B15" t="inlineStr">
        <is>
          <t>Gerson Lehrman G DES:XXXXX64631 ID:XXXXX64631 INDN:Blufin Labs LLC CO ID:XXXXX01226 CCD</t>
        </is>
      </c>
      <c r="C15" t="n">
        <v>56.83</v>
      </c>
      <c r="D15" t="inlineStr">
        <is>
          <t>Consulting Revenue</t>
        </is>
      </c>
      <c r="E15" t="inlineStr">
        <is>
          <t>The Scatter Works</t>
        </is>
      </c>
      <c r="F15" t="inlineStr">
        <is>
          <t>Checking</t>
        </is>
      </c>
      <c r="H15" t="inlineStr">
        <is>
          <t>income</t>
        </is>
      </c>
      <c r="I15" t="inlineStr">
        <is>
          <t>Consulting Revenue</t>
        </is>
      </c>
    </row>
    <row r="16">
      <c r="A16" t="inlineStr">
        <is>
          <t>2025-05-08</t>
        </is>
      </c>
      <c r="B16" t="inlineStr">
        <is>
          <t>THORLABS 05/06 PURCHASE 973-579-7227 NJ DEBIT CARD *6768</t>
        </is>
      </c>
      <c r="C16" t="n">
        <v>-266.5</v>
      </c>
      <c r="D16" t="inlineStr">
        <is>
          <t>Optical Components</t>
        </is>
      </c>
      <c r="F16" t="inlineStr">
        <is>
          <t>Checking</t>
        </is>
      </c>
      <c r="H16" t="inlineStr">
        <is>
          <t>expense</t>
        </is>
      </c>
      <c r="I16" t="inlineStr">
        <is>
          <t>Optical Components</t>
        </is>
      </c>
    </row>
    <row r="17">
      <c r="A17" t="inlineStr">
        <is>
          <t>2025-05-28</t>
        </is>
      </c>
      <c r="B17" t="inlineStr">
        <is>
          <t>Online Banking transfer to CHK 3232 Confirmation# XXXXX44399</t>
        </is>
      </c>
      <c r="C17" t="n">
        <v>-1000</v>
      </c>
      <c r="D17" t="inlineStr">
        <is>
          <t>Owner Draw</t>
        </is>
      </c>
      <c r="F17" t="inlineStr">
        <is>
          <t>Checking</t>
        </is>
      </c>
      <c r="H17" t="inlineStr">
        <is>
          <t>equity</t>
        </is>
      </c>
      <c r="I17" t="inlineStr">
        <is>
          <t>Owner Draw</t>
        </is>
      </c>
    </row>
    <row r="18">
      <c r="A18" t="inlineStr">
        <is>
          <t>2025-06-04</t>
        </is>
      </c>
      <c r="B18" t="inlineStr">
        <is>
          <t>ODOO INC. DES:ODOO INC. ID:ST-O3C4L2O0G1K2 INDN:PATRICK O HARA CO ID:XXXXX48598 WEB</t>
        </is>
      </c>
      <c r="C18" t="n">
        <v>-70</v>
      </c>
      <c r="D18" t="inlineStr">
        <is>
          <t>Software</t>
        </is>
      </c>
      <c r="F18" t="inlineStr">
        <is>
          <t>Checking</t>
        </is>
      </c>
      <c r="H18" t="inlineStr">
        <is>
          <t>expense</t>
        </is>
      </c>
      <c r="I18" t="inlineStr">
        <is>
          <t>Software</t>
        </is>
      </c>
    </row>
    <row r="19">
      <c r="A19" t="inlineStr">
        <is>
          <t>2025-07-01</t>
        </is>
      </c>
      <c r="B19" t="inlineStr">
        <is>
          <t>BOMMER* BOMMER, INC 06/30 PURCHASE GETBOMMER.COM CA DEBIT CARD *6768</t>
        </is>
      </c>
      <c r="C19" t="n">
        <v>-199</v>
      </c>
      <c r="D19" t="inlineStr">
        <is>
          <t>Software</t>
        </is>
      </c>
      <c r="F19" t="inlineStr">
        <is>
          <t>Checking</t>
        </is>
      </c>
      <c r="H19" t="inlineStr">
        <is>
          <t>expense</t>
        </is>
      </c>
      <c r="I19" t="inlineStr">
        <is>
          <t>Software</t>
        </is>
      </c>
    </row>
    <row r="20">
      <c r="A20" t="inlineStr">
        <is>
          <t>2025-07-07</t>
        </is>
      </c>
      <c r="B20" t="inlineStr">
        <is>
          <t>ODOO INC. DES:ODOO INC. ID:ST-E6N9S7P0P1O8 INDN:PATRICK O HARA CO ID:XXXXX65600 WEB</t>
        </is>
      </c>
      <c r="C20" t="n">
        <v>-108.9</v>
      </c>
      <c r="D20" t="inlineStr">
        <is>
          <t>Software</t>
        </is>
      </c>
      <c r="F20" t="inlineStr">
        <is>
          <t>Checking</t>
        </is>
      </c>
      <c r="H20" t="inlineStr">
        <is>
          <t>expense</t>
        </is>
      </c>
      <c r="I20" t="inlineStr">
        <is>
          <t>Software</t>
        </is>
      </c>
    </row>
    <row r="21">
      <c r="A21" t="inlineStr">
        <is>
          <t>2025-07-07</t>
        </is>
      </c>
      <c r="B21" t="inlineStr">
        <is>
          <t>OPENAI DES:OPENAI *CH ID:ST-W8A6E8I0O8I4 INDN:LINK CO ID:XXXXX65600 WEB</t>
        </is>
      </c>
      <c r="C21" t="n">
        <v>-20</v>
      </c>
      <c r="D21" t="inlineStr">
        <is>
          <t>Software</t>
        </is>
      </c>
      <c r="F21" t="inlineStr">
        <is>
          <t>Checking</t>
        </is>
      </c>
      <c r="H21" t="inlineStr">
        <is>
          <t>expense</t>
        </is>
      </c>
      <c r="I21" t="inlineStr">
        <is>
          <t>Software</t>
        </is>
      </c>
    </row>
    <row r="22">
      <c r="A22" t="inlineStr">
        <is>
          <t>2025-08-04</t>
        </is>
      </c>
      <c r="B22" t="inlineStr">
        <is>
          <t>ODOO INC. DES:ODOO INC. ID:ST-I4V9E2J1T5N0 INDN:PATRICK O HARA CO ID:XXXXX48598 WEB</t>
        </is>
      </c>
      <c r="C22" t="n">
        <v>-108.9</v>
      </c>
      <c r="D22" t="inlineStr">
        <is>
          <t>Software</t>
        </is>
      </c>
      <c r="F22" t="inlineStr">
        <is>
          <t>Checking</t>
        </is>
      </c>
      <c r="H22" t="inlineStr">
        <is>
          <t>expense</t>
        </is>
      </c>
      <c r="I22" t="inlineStr">
        <is>
          <t>Software</t>
        </is>
      </c>
    </row>
    <row r="23">
      <c r="A23" t="inlineStr">
        <is>
          <t>2025-08-05</t>
        </is>
      </c>
      <c r="B23" t="inlineStr">
        <is>
          <t>OPENAI DES:OPENAI *CH ID:ST-T4U6A4O3Q9S1 INDN:LINK CO ID:XXXXX48598 WEB</t>
        </is>
      </c>
      <c r="C23" t="n">
        <v>-20</v>
      </c>
      <c r="D23" t="inlineStr">
        <is>
          <t>Software</t>
        </is>
      </c>
      <c r="F23" t="inlineStr">
        <is>
          <t>Checking</t>
        </is>
      </c>
      <c r="H23" t="inlineStr">
        <is>
          <t>expense</t>
        </is>
      </c>
      <c r="I23" t="inlineStr">
        <is>
          <t>Software</t>
        </is>
      </c>
    </row>
    <row r="24">
      <c r="A24" t="inlineStr">
        <is>
          <t>2025-08-11</t>
        </is>
      </c>
      <c r="B24" t="inlineStr">
        <is>
          <t>GITHUB, INC. 08/08 PURCHASE GITHUB.COM CA DEBIT CARD *6768</t>
        </is>
      </c>
      <c r="C24" t="n">
        <v>-100</v>
      </c>
      <c r="D24" t="inlineStr">
        <is>
          <t>Software</t>
        </is>
      </c>
      <c r="F24" t="inlineStr">
        <is>
          <t>Checking</t>
        </is>
      </c>
      <c r="H24" t="inlineStr">
        <is>
          <t>expense</t>
        </is>
      </c>
      <c r="I24" t="inlineStr">
        <is>
          <t>Software</t>
        </is>
      </c>
    </row>
    <row r="25">
      <c r="A25" t="inlineStr">
        <is>
          <t>2025-08-15</t>
        </is>
      </c>
      <c r="B25" t="inlineStr">
        <is>
          <t>DNH*GODADDY#XXXXX63271 08/14 PURCHASE XXX-XX58855 AZ DEBIT CARD *6768</t>
        </is>
      </c>
      <c r="C25" t="n">
        <v>-84.36</v>
      </c>
      <c r="D25" t="inlineStr">
        <is>
          <t>Shipping Fees</t>
        </is>
      </c>
      <c r="F25" t="inlineStr">
        <is>
          <t>Checking</t>
        </is>
      </c>
      <c r="H25" t="inlineStr">
        <is>
          <t>expense</t>
        </is>
      </c>
      <c r="I25" t="inlineStr">
        <is>
          <t>Shipping Fees</t>
        </is>
      </c>
    </row>
    <row r="26">
      <c r="A26" t="inlineStr">
        <is>
          <t>2025-08-19</t>
        </is>
      </c>
      <c r="B26" t="inlineStr">
        <is>
          <t>BKOFAMERICA ATM 08/18 #XXXXX5340 WITHDRWL SANTA CRUZ MAIN SANTA CRUZ CA CKCD XXXXXXXXXX116768</t>
        </is>
      </c>
      <c r="C26" t="n">
        <v>-100</v>
      </c>
      <c r="D26" t="inlineStr">
        <is>
          <t>Owner Draw</t>
        </is>
      </c>
      <c r="F26" t="inlineStr">
        <is>
          <t>Checking</t>
        </is>
      </c>
      <c r="H26" t="inlineStr">
        <is>
          <t>equity</t>
        </is>
      </c>
      <c r="I26" t="inlineStr">
        <is>
          <t>Owner Draw</t>
        </is>
      </c>
    </row>
    <row r="27">
      <c r="A27" t="inlineStr">
        <is>
          <t>2025-08-21</t>
        </is>
      </c>
      <c r="B27" t="inlineStr">
        <is>
          <t>CAKE.COM 08/20 PURCHASE CAKE.COM CA DEBIT CARD *6768</t>
        </is>
      </c>
      <c r="C27" t="n">
        <v>-65.88</v>
      </c>
      <c r="D27" t="inlineStr">
        <is>
          <t>Software</t>
        </is>
      </c>
      <c r="F27" t="inlineStr">
        <is>
          <t>Checking</t>
        </is>
      </c>
      <c r="H27" t="inlineStr">
        <is>
          <t>expense</t>
        </is>
      </c>
      <c r="I27" t="inlineStr">
        <is>
          <t>Software</t>
        </is>
      </c>
    </row>
    <row r="28">
      <c r="A28" t="inlineStr">
        <is>
          <t>2025-08-27</t>
        </is>
      </c>
      <c r="B28" t="inlineStr">
        <is>
          <t>SQSP* WEBSIT#XXXXX5677 08/26 PURCHASE SQUARESPACE.C NY DEBIT CARD *6768</t>
        </is>
      </c>
      <c r="C28" t="n">
        <v>-192</v>
      </c>
      <c r="D28" t="inlineStr">
        <is>
          <t>Software</t>
        </is>
      </c>
      <c r="F28" t="inlineStr">
        <is>
          <t>Checking</t>
        </is>
      </c>
      <c r="H28" t="inlineStr">
        <is>
          <t>expense</t>
        </is>
      </c>
      <c r="I28" t="inlineStr">
        <is>
          <t>Software</t>
        </is>
      </c>
    </row>
    <row r="29">
      <c r="A29" t="inlineStr">
        <is>
          <t>2025-08-28</t>
        </is>
      </c>
      <c r="B29" t="inlineStr">
        <is>
          <t>SPIE ORG 08/26 PURCHASE XXXXX63290 WA DEBIT CARD *6768</t>
        </is>
      </c>
      <c r="C29" t="n">
        <v>-45</v>
      </c>
      <c r="D29" t="inlineStr">
        <is>
          <t>Misc Expense</t>
        </is>
      </c>
      <c r="F29" t="inlineStr">
        <is>
          <t>Checking</t>
        </is>
      </c>
      <c r="H29" t="inlineStr">
        <is>
          <t>expense</t>
        </is>
      </c>
      <c r="I29" t="inlineStr">
        <is>
          <t>Misc Expense</t>
        </is>
      </c>
    </row>
    <row r="30">
      <c r="A30" t="inlineStr">
        <is>
          <t>2025-09-02</t>
        </is>
      </c>
      <c r="B30" t="inlineStr">
        <is>
          <t>Online Banking transfer to CHK 3232 Confirmation# XXXXX78474</t>
        </is>
      </c>
      <c r="C30" t="n">
        <v>-1000</v>
      </c>
      <c r="D30" t="inlineStr">
        <is>
          <t>Owner Draw</t>
        </is>
      </c>
      <c r="F30" t="inlineStr">
        <is>
          <t>Checking</t>
        </is>
      </c>
      <c r="H30" t="inlineStr">
        <is>
          <t>equity</t>
        </is>
      </c>
      <c r="I30" t="inlineStr">
        <is>
          <t>Owner Draw</t>
        </is>
      </c>
    </row>
    <row r="31">
      <c r="A31" t="inlineStr">
        <is>
          <t>2025-09-04</t>
        </is>
      </c>
      <c r="B31" t="inlineStr">
        <is>
          <t>ODOO INC. DES:ODOO INC. ID:ST-P4A4Z0R3F6K3 INDN:PATRICK O HARA CO ID:XXXXX48598 WEB</t>
        </is>
      </c>
      <c r="C31" t="n">
        <v>-108.9</v>
      </c>
      <c r="D31" t="inlineStr">
        <is>
          <t>Software</t>
        </is>
      </c>
      <c r="F31" t="inlineStr">
        <is>
          <t>Checking</t>
        </is>
      </c>
      <c r="H31" t="inlineStr">
        <is>
          <t>expense</t>
        </is>
      </c>
      <c r="I31" t="inlineStr">
        <is>
          <t>Software</t>
        </is>
      </c>
    </row>
    <row r="32">
      <c r="A32" t="inlineStr">
        <is>
          <t>2025-09-04</t>
        </is>
      </c>
      <c r="B32" t="inlineStr">
        <is>
          <t>OPENAI DES:OPENAI *CH ID:ST-L1S4M8Q0S2L4 INDN:LINK CO ID:XXXXX65600 WEB</t>
        </is>
      </c>
      <c r="C32" t="n">
        <v>-20</v>
      </c>
      <c r="D32" t="inlineStr">
        <is>
          <t>Software</t>
        </is>
      </c>
      <c r="F32" t="inlineStr">
        <is>
          <t>Checking</t>
        </is>
      </c>
      <c r="H32" t="inlineStr">
        <is>
          <t>expense</t>
        </is>
      </c>
      <c r="I32" t="inlineStr">
        <is>
          <t>Software</t>
        </is>
      </c>
    </row>
    <row r="33">
      <c r="A33" t="inlineStr">
        <is>
          <t>2025-09-12</t>
        </is>
      </c>
      <c r="B33" t="inlineStr">
        <is>
          <t>BKOFAMERICA MOBILE 09/12 XXXXX94528 DEPOSIT *MOBILE CA</t>
        </is>
      </c>
      <c r="C33" t="n">
        <v>2394.7</v>
      </c>
      <c r="D33" t="inlineStr">
        <is>
          <t>Consulting Revenue</t>
        </is>
      </c>
      <c r="E33" t="inlineStr">
        <is>
          <t>The Scatter Works</t>
        </is>
      </c>
      <c r="F33" t="inlineStr">
        <is>
          <t>Checking</t>
        </is>
      </c>
      <c r="H33" t="inlineStr">
        <is>
          <t>income</t>
        </is>
      </c>
      <c r="I33" t="inlineStr">
        <is>
          <t>Consulting Revenue</t>
        </is>
      </c>
    </row>
    <row r="34">
      <c r="A34" t="inlineStr">
        <is>
          <t>2025-09-17</t>
        </is>
      </c>
      <c r="B34" t="inlineStr">
        <is>
          <t>WIRE TYPE:INTL IN DATE:250917 TIME:0513 ET TRN:XXXXXXXXXX052596 SEQ:HK117095BI674750/ ORIG:UNICORN TECHNOLOGY CO., L ID:XXXXX1671838 ORIG BK:HONGKONG AND SHANGHAI BANKING ID:HSBCHKHHH KH PMT DET: $25.00 FEE DEDUCTFOR INVOICE INV/2025/</t>
        </is>
      </c>
      <c r="C34" t="n">
        <v>74975</v>
      </c>
      <c r="D34" t="inlineStr">
        <is>
          <t>Consulting Revenue</t>
        </is>
      </c>
      <c r="E34" t="inlineStr">
        <is>
          <t>Unicorn Technology</t>
        </is>
      </c>
      <c r="F34" t="inlineStr">
        <is>
          <t>Checking</t>
        </is>
      </c>
      <c r="H34" t="inlineStr">
        <is>
          <t>income</t>
        </is>
      </c>
      <c r="I34" t="inlineStr">
        <is>
          <t>Consulting Revenue</t>
        </is>
      </c>
    </row>
    <row r="35">
      <c r="A35" t="inlineStr">
        <is>
          <t>2025-09-18</t>
        </is>
      </c>
      <c r="B35" t="inlineStr">
        <is>
          <t>INTUIT *QBooks Online 09/17 PURCHASE CL.INTUIT.COM CA DEBIT CARD *6768</t>
        </is>
      </c>
      <c r="C35" t="n">
        <v>-10</v>
      </c>
      <c r="D35" t="inlineStr">
        <is>
          <t>Software</t>
        </is>
      </c>
      <c r="F35" t="inlineStr">
        <is>
          <t>Checking</t>
        </is>
      </c>
      <c r="H35" t="inlineStr">
        <is>
          <t>expense</t>
        </is>
      </c>
      <c r="I35" t="inlineStr">
        <is>
          <t>Software</t>
        </is>
      </c>
    </row>
    <row r="36">
      <c r="A36" t="inlineStr">
        <is>
          <t>2025-09-18</t>
        </is>
      </c>
      <c r="B36" t="inlineStr">
        <is>
          <t>Online Banking transfer to CHK 3232 Confirmation# XXXXX55346</t>
        </is>
      </c>
      <c r="C36" t="n">
        <v>-5000</v>
      </c>
      <c r="D36" t="inlineStr">
        <is>
          <t>Labor (Consulting)</t>
        </is>
      </c>
      <c r="F36" t="inlineStr">
        <is>
          <t>Checking</t>
        </is>
      </c>
      <c r="H36" t="inlineStr">
        <is>
          <t>expense</t>
        </is>
      </c>
      <c r="I36" t="inlineStr">
        <is>
          <t>Labor (Consulting)</t>
        </is>
      </c>
    </row>
    <row r="37">
      <c r="A37" t="inlineStr">
        <is>
          <t>2025-09-18</t>
        </is>
      </c>
      <c r="B37" t="inlineStr">
        <is>
          <t>Wire Transfer Fee</t>
        </is>
      </c>
      <c r="C37" t="n">
        <v>-15</v>
      </c>
      <c r="D37" t="inlineStr">
        <is>
          <t>Bank Fees</t>
        </is>
      </c>
      <c r="F37" t="inlineStr">
        <is>
          <t>Checking</t>
        </is>
      </c>
      <c r="H37" t="inlineStr">
        <is>
          <t>expense</t>
        </is>
      </c>
      <c r="I37" t="inlineStr">
        <is>
          <t>Bank Fees</t>
        </is>
      </c>
    </row>
    <row r="38">
      <c r="A38" t="inlineStr">
        <is>
          <t>2025-09-26</t>
        </is>
      </c>
      <c r="B38" t="inlineStr">
        <is>
          <t>CAKE.COM 09/25 PURCHASE CAKE.COM CA DEBIT CARD *6768</t>
        </is>
      </c>
      <c r="C38" t="n">
        <v>-59.43</v>
      </c>
      <c r="D38" t="inlineStr">
        <is>
          <t>Software</t>
        </is>
      </c>
      <c r="F38" t="inlineStr">
        <is>
          <t>Checking</t>
        </is>
      </c>
      <c r="H38" t="inlineStr">
        <is>
          <t>expense</t>
        </is>
      </c>
      <c r="I38" t="inlineStr">
        <is>
          <t>Software</t>
        </is>
      </c>
    </row>
    <row r="39">
      <c r="A39" t="inlineStr">
        <is>
          <t>2025-09-29</t>
        </is>
      </c>
      <c r="B39" t="inlineStr">
        <is>
          <t>SUPPLIER-DIRECT 09/26 PURCHASE 682-518-7053 MA DEBIT CARD *6768</t>
        </is>
      </c>
      <c r="C39" t="n">
        <v>-298.83</v>
      </c>
      <c r="D39" t="inlineStr">
        <is>
          <t>Electronic Components</t>
        </is>
      </c>
      <c r="F39" t="inlineStr">
        <is>
          <t>Checking</t>
        </is>
      </c>
      <c r="H39" t="inlineStr">
        <is>
          <t>expense</t>
        </is>
      </c>
      <c r="I39" t="inlineStr">
        <is>
          <t>Electronic Components</t>
        </is>
      </c>
    </row>
    <row r="40">
      <c r="A40" t="inlineStr">
        <is>
          <t>2025-09-30</t>
        </is>
      </c>
      <c r="B40" t="inlineStr">
        <is>
          <t>GIGASOFT INC 09/29 PURCHASE 817-431-8470 TX DEBIT CARD *6768</t>
        </is>
      </c>
      <c r="C40" t="n">
        <v>-3499</v>
      </c>
      <c r="D40" t="inlineStr">
        <is>
          <t>Software</t>
        </is>
      </c>
      <c r="F40" t="inlineStr">
        <is>
          <t>Checking</t>
        </is>
      </c>
      <c r="H40" t="inlineStr">
        <is>
          <t>expense</t>
        </is>
      </c>
      <c r="I40" t="inlineStr">
        <is>
          <t>Software</t>
        </is>
      </c>
    </row>
    <row r="41">
      <c r="A41" t="inlineStr">
        <is>
          <t>2025-10-01</t>
        </is>
      </c>
      <c r="B41" t="inlineStr">
        <is>
          <t>DNH*GODADDY#XXXXX20284 09/30 PURCHASE XXX-XX58855 AZ DEBIT CARD *6768</t>
        </is>
      </c>
      <c r="C41" t="n">
        <v>-95.88</v>
      </c>
      <c r="D41" t="inlineStr">
        <is>
          <t>Software</t>
        </is>
      </c>
      <c r="F41" t="inlineStr">
        <is>
          <t>Checking</t>
        </is>
      </c>
      <c r="H41" t="inlineStr">
        <is>
          <t>expense</t>
        </is>
      </c>
      <c r="I41" t="inlineStr">
        <is>
          <t>Software</t>
        </is>
      </c>
    </row>
    <row r="42">
      <c r="A42" t="inlineStr">
        <is>
          <t>2025-10-06</t>
        </is>
      </c>
      <c r="B42" t="inlineStr">
        <is>
          <t>SANTA CRUZ ELECTRONICS 10/03 PURCHASE SANTA CRUZ CA DEBIT CARD *6768</t>
        </is>
      </c>
      <c r="C42" t="n">
        <v>-17.47</v>
      </c>
      <c r="D42" t="inlineStr">
        <is>
          <t>Electronic Components</t>
        </is>
      </c>
      <c r="F42" t="inlineStr">
        <is>
          <t>Checking</t>
        </is>
      </c>
      <c r="H42" t="inlineStr">
        <is>
          <t>expense</t>
        </is>
      </c>
      <c r="I42" t="inlineStr">
        <is>
          <t>Electronic Components</t>
        </is>
      </c>
    </row>
    <row r="43">
      <c r="A43" t="inlineStr">
        <is>
          <t>2025-10-06</t>
        </is>
      </c>
      <c r="B43" t="inlineStr">
        <is>
          <t>OPENAI DES:OPENAI *CH ID:ST-I6N7K6E9N9J0 INDN:LINK CO ID:XXXXX48598 WEB</t>
        </is>
      </c>
      <c r="C43" t="n">
        <v>-20</v>
      </c>
      <c r="D43" t="inlineStr">
        <is>
          <t>Software</t>
        </is>
      </c>
      <c r="F43" t="inlineStr">
        <is>
          <t>Checking</t>
        </is>
      </c>
      <c r="H43" t="inlineStr">
        <is>
          <t>expense</t>
        </is>
      </c>
      <c r="I43" t="inlineStr">
        <is>
          <t>Software</t>
        </is>
      </c>
    </row>
    <row r="44">
      <c r="A44" t="inlineStr">
        <is>
          <t>2025-10-09</t>
        </is>
      </c>
      <c r="B44" t="inlineStr">
        <is>
          <t>LAMBDA RESEARCH CORP 10/08 PURCHASE WWW.LAMBDARES MA DEBIT CARD *6768</t>
        </is>
      </c>
      <c r="C44" t="n">
        <v>-2045</v>
      </c>
      <c r="D44" t="inlineStr">
        <is>
          <t>Software</t>
        </is>
      </c>
      <c r="F44" t="inlineStr">
        <is>
          <t>Checking</t>
        </is>
      </c>
      <c r="H44" t="inlineStr">
        <is>
          <t>expense</t>
        </is>
      </c>
      <c r="I44" t="inlineStr">
        <is>
          <t>Software</t>
        </is>
      </c>
    </row>
    <row r="45">
      <c r="A45" t="inlineStr">
        <is>
          <t>2025-10-09</t>
        </is>
      </c>
      <c r="B45" t="inlineStr">
        <is>
          <t>LAMBDA RESEARCH CORP 10/08 PURCHASE WWW.LAMBDARES MA DEBIT CARD *6768</t>
        </is>
      </c>
      <c r="C45" t="n">
        <v>-600</v>
      </c>
      <c r="D45" t="inlineStr">
        <is>
          <t>Software</t>
        </is>
      </c>
      <c r="F45" t="inlineStr">
        <is>
          <t>Checking</t>
        </is>
      </c>
      <c r="H45" t="inlineStr">
        <is>
          <t>expense</t>
        </is>
      </c>
      <c r="I45" t="inlineStr">
        <is>
          <t>Software</t>
        </is>
      </c>
    </row>
    <row r="46">
      <c r="A46" t="inlineStr">
        <is>
          <t>2025-10-20</t>
        </is>
      </c>
      <c r="B46" t="inlineStr">
        <is>
          <t>INTUIT *QBooks Online 10/17 PURCHASE CL.INTUIT.COM CA DEBIT CARD *6768</t>
        </is>
      </c>
      <c r="C46" t="n">
        <v>-10</v>
      </c>
      <c r="D46" t="inlineStr">
        <is>
          <t>Software</t>
        </is>
      </c>
      <c r="F46" t="inlineStr">
        <is>
          <t>Checking</t>
        </is>
      </c>
      <c r="H46" t="inlineStr">
        <is>
          <t>expense</t>
        </is>
      </c>
      <c r="I46" t="inlineStr">
        <is>
          <t>Software</t>
        </is>
      </c>
    </row>
    <row r="47">
      <c r="A47" t="inlineStr">
        <is>
          <t>2025-10-21</t>
        </is>
      </c>
      <c r="B47" t="inlineStr">
        <is>
          <t>PIEZODRIVE ONLINE 10/21 PURCHASE MEREWETHER DEBIT CARD *6768</t>
        </is>
      </c>
      <c r="C47" t="n">
        <v>-265.23</v>
      </c>
      <c r="D47" t="inlineStr">
        <is>
          <t>Electronic Components</t>
        </is>
      </c>
      <c r="F47" t="inlineStr">
        <is>
          <t>Checking</t>
        </is>
      </c>
      <c r="H47" t="inlineStr">
        <is>
          <t>expense</t>
        </is>
      </c>
      <c r="I47" t="inlineStr">
        <is>
          <t>Electronic Components</t>
        </is>
      </c>
    </row>
    <row r="48">
      <c r="A48" t="inlineStr">
        <is>
          <t>2025-10-21</t>
        </is>
      </c>
      <c r="B48" t="inlineStr">
        <is>
          <t>Online Banking transfer to CHK 3232 Confirmation# XXXXX24948</t>
        </is>
      </c>
      <c r="C48" t="n">
        <v>-5000</v>
      </c>
      <c r="D48" t="inlineStr">
        <is>
          <t>Labor (Consulting)</t>
        </is>
      </c>
      <c r="F48" t="inlineStr">
        <is>
          <t>Checking</t>
        </is>
      </c>
      <c r="H48" t="inlineStr">
        <is>
          <t>expense</t>
        </is>
      </c>
      <c r="I48" t="inlineStr">
        <is>
          <t>Labor (Consulting)</t>
        </is>
      </c>
    </row>
    <row r="49">
      <c r="A49" t="inlineStr">
        <is>
          <t>2025-10-27</t>
        </is>
      </c>
      <c r="B49" t="inlineStr">
        <is>
          <t>XOMETRY.COM 10/26 PURCHASE XOMETRY.COM MD DEBIT CARD *6768</t>
        </is>
      </c>
      <c r="C49" t="n">
        <v>-910.9400000000001</v>
      </c>
      <c r="D49" t="inlineStr">
        <is>
          <t>Machining/Fabrication</t>
        </is>
      </c>
      <c r="F49" t="inlineStr">
        <is>
          <t>Checking</t>
        </is>
      </c>
      <c r="H49" t="inlineStr">
        <is>
          <t>expense</t>
        </is>
      </c>
      <c r="I49" t="inlineStr">
        <is>
          <t>Machining/Fabrication</t>
        </is>
      </c>
    </row>
    <row r="50">
      <c r="A50" t="inlineStr">
        <is>
          <t>2025-10-29</t>
        </is>
      </c>
      <c r="B50" t="inlineStr">
        <is>
          <t>Mike Kearny Bill Payment</t>
        </is>
      </c>
      <c r="C50" t="n">
        <v>-5000</v>
      </c>
      <c r="D50" t="inlineStr">
        <is>
          <t>Labor (Consulting)</t>
        </is>
      </c>
      <c r="F50" t="inlineStr">
        <is>
          <t>Checking</t>
        </is>
      </c>
      <c r="H50" t="inlineStr">
        <is>
          <t>expense</t>
        </is>
      </c>
      <c r="I50" t="inlineStr">
        <is>
          <t>Labor (Consulting)</t>
        </is>
      </c>
    </row>
    <row r="51">
      <c r="A51" t="inlineStr">
        <is>
          <t>2025-10-31</t>
        </is>
      </c>
      <c r="B51" t="inlineStr">
        <is>
          <t>THORLABS 10/30 PURCHASE 973-579-7227 NJ DEBIT CARD *6768</t>
        </is>
      </c>
      <c r="C51" t="n">
        <v>-3227.58</v>
      </c>
      <c r="D51" t="inlineStr">
        <is>
          <t>Optical Components</t>
        </is>
      </c>
      <c r="F51" t="inlineStr">
        <is>
          <t>Checking</t>
        </is>
      </c>
      <c r="H51" t="inlineStr">
        <is>
          <t>expense</t>
        </is>
      </c>
      <c r="I51" t="inlineStr">
        <is>
          <t>Optical Components</t>
        </is>
      </c>
    </row>
    <row r="52">
      <c r="A52" t="inlineStr">
        <is>
          <t>2025-11-03</t>
        </is>
      </c>
      <c r="B52" t="inlineStr">
        <is>
          <t>WWW.FLUX.AI 10/31 PURCHASE FLUX.AI CA DEBIT CARD *6768</t>
        </is>
      </c>
      <c r="C52" t="n">
        <v>-100</v>
      </c>
      <c r="D52" t="inlineStr">
        <is>
          <t>Software</t>
        </is>
      </c>
      <c r="F52" t="inlineStr">
        <is>
          <t>Checking</t>
        </is>
      </c>
      <c r="H52" t="inlineStr">
        <is>
          <t>expense</t>
        </is>
      </c>
      <c r="I52" t="inlineStr">
        <is>
          <t>Software</t>
        </is>
      </c>
    </row>
    <row r="53">
      <c r="A53" t="inlineStr">
        <is>
          <t>2025-11-03</t>
        </is>
      </c>
      <c r="B53" t="inlineStr">
        <is>
          <t>D28425710 11/01 PURCHASE 180-072-2008 FL DEBIT CARD *6768</t>
        </is>
      </c>
      <c r="C53" t="n">
        <v>-36.64</v>
      </c>
      <c r="D53" t="inlineStr">
        <is>
          <t>Shipping Fees</t>
        </is>
      </c>
      <c r="F53" t="inlineStr">
        <is>
          <t>Checking</t>
        </is>
      </c>
      <c r="H53" t="inlineStr">
        <is>
          <t>expense</t>
        </is>
      </c>
      <c r="I53" t="inlineStr">
        <is>
          <t>Shipping Fees</t>
        </is>
      </c>
    </row>
    <row r="54">
      <c r="A54" t="inlineStr">
        <is>
          <t>2025-11-05</t>
        </is>
      </c>
      <c r="B54" t="inlineStr">
        <is>
          <t>OPENAI DES:OPENAI *CH ID:ST-V5T7Z9I7T2L5 INDN:LINK CO ID:XXXXX48598 WEB</t>
        </is>
      </c>
      <c r="C54" t="n">
        <v>-20</v>
      </c>
      <c r="D54" t="inlineStr">
        <is>
          <t>Software</t>
        </is>
      </c>
      <c r="F54" t="inlineStr">
        <is>
          <t>Checking</t>
        </is>
      </c>
      <c r="H54" t="inlineStr">
        <is>
          <t>expense</t>
        </is>
      </c>
      <c r="I54" t="inlineStr">
        <is>
          <t>Software</t>
        </is>
      </c>
    </row>
    <row r="55">
      <c r="A55" t="inlineStr">
        <is>
          <t>2025-11-05</t>
        </is>
      </c>
      <c r="B55" t="inlineStr">
        <is>
          <t>WWW.FLUX.AI 11/03 REFUND SAN FRANCISCO CA DEBIT CARD *6768</t>
        </is>
      </c>
      <c r="C55" t="n">
        <v>100</v>
      </c>
      <c r="D55" t="inlineStr">
        <is>
          <t>Misc Income</t>
        </is>
      </c>
      <c r="E55" t="inlineStr">
        <is>
          <t>Flux AI</t>
        </is>
      </c>
      <c r="F55" t="inlineStr">
        <is>
          <t>Checking</t>
        </is>
      </c>
      <c r="H55" t="inlineStr">
        <is>
          <t>income</t>
        </is>
      </c>
      <c r="I55" t="inlineStr">
        <is>
          <t>Misc Income</t>
        </is>
      </c>
    </row>
    <row r="56">
      <c r="A56" t="inlineStr">
        <is>
          <t>2025-11-10</t>
        </is>
      </c>
      <c r="B56" t="inlineStr">
        <is>
          <t>THORLABS 11/07 PURCHASE 973-579-7227 NJ DEBIT CARD *6768</t>
        </is>
      </c>
      <c r="C56" t="n">
        <v>-418.52</v>
      </c>
      <c r="D56" t="inlineStr">
        <is>
          <t>Optical Components</t>
        </is>
      </c>
      <c r="F56" t="inlineStr">
        <is>
          <t>Checking</t>
        </is>
      </c>
      <c r="H56" t="inlineStr">
        <is>
          <t>expense</t>
        </is>
      </c>
      <c r="I56" t="inlineStr">
        <is>
          <t>Optical Components</t>
        </is>
      </c>
    </row>
    <row r="57">
      <c r="A57" t="inlineStr">
        <is>
          <t>2025-11-10</t>
        </is>
      </c>
      <c r="B57" t="inlineStr">
        <is>
          <t>FIGMA 11/07 PURCHASE FIGMA.COM CA DEBIT CARD *6768</t>
        </is>
      </c>
      <c r="C57" t="n">
        <v>-192</v>
      </c>
      <c r="D57" t="inlineStr">
        <is>
          <t>Software</t>
        </is>
      </c>
      <c r="F57" t="inlineStr">
        <is>
          <t>Checking</t>
        </is>
      </c>
      <c r="H57" t="inlineStr">
        <is>
          <t>expense</t>
        </is>
      </c>
      <c r="I57" t="inlineStr">
        <is>
          <t>Software</t>
        </is>
      </c>
    </row>
    <row r="58">
      <c r="A58" t="inlineStr">
        <is>
          <t>2025-11-13</t>
        </is>
      </c>
      <c r="B58" t="inlineStr">
        <is>
          <t>MICROMECHATRONICS INC 11/12 PURCHASE 814-861-5688 PA DEBIT CARD *6768</t>
        </is>
      </c>
      <c r="C58" t="n">
        <v>-843</v>
      </c>
      <c r="D58" t="inlineStr">
        <is>
          <t>Electronic Components</t>
        </is>
      </c>
      <c r="F58" t="inlineStr">
        <is>
          <t>Checking</t>
        </is>
      </c>
      <c r="H58" t="inlineStr">
        <is>
          <t>expense</t>
        </is>
      </c>
      <c r="I58" t="inlineStr">
        <is>
          <t>Electronic Components</t>
        </is>
      </c>
    </row>
    <row r="59">
      <c r="A59" t="inlineStr">
        <is>
          <t>2025-11-18</t>
        </is>
      </c>
      <c r="B59" t="inlineStr">
        <is>
          <t>INTUIT *QBooks Online 11/17 PURCHASE CL.INTUIT.COM CA DEBIT CARD *6768</t>
        </is>
      </c>
      <c r="C59" t="n">
        <v>-10</v>
      </c>
      <c r="D59" t="inlineStr">
        <is>
          <t>Software</t>
        </is>
      </c>
      <c r="F59" t="inlineStr">
        <is>
          <t>Checking</t>
        </is>
      </c>
      <c r="H59" t="inlineStr">
        <is>
          <t>expense</t>
        </is>
      </c>
      <c r="I59" t="inlineStr">
        <is>
          <t>Software</t>
        </is>
      </c>
    </row>
    <row r="60">
      <c r="A60" t="inlineStr">
        <is>
          <t>2025-11-19</t>
        </is>
      </c>
      <c r="B60" t="inlineStr">
        <is>
          <t>THORLABS 11/18 PURCHASE 973-579-7227 NJ DEBIT CARD *6768</t>
        </is>
      </c>
      <c r="C60" t="n">
        <v>-243.61</v>
      </c>
      <c r="D60" t="inlineStr">
        <is>
          <t>Optical Components</t>
        </is>
      </c>
      <c r="F60" t="inlineStr">
        <is>
          <t>Checking</t>
        </is>
      </c>
      <c r="H60" t="inlineStr">
        <is>
          <t>expense</t>
        </is>
      </c>
      <c r="I60" t="inlineStr">
        <is>
          <t>Optical Components</t>
        </is>
      </c>
    </row>
    <row r="61">
      <c r="A61" t="inlineStr">
        <is>
          <t>2025-11-20</t>
        </is>
      </c>
      <c r="B61" t="inlineStr">
        <is>
          <t>MCMASTER-CARR 11/18 PURCHASE 630-834-9600 IL DEBIT CARD *6768</t>
        </is>
      </c>
      <c r="C61" t="n">
        <v>-48.05</v>
      </c>
      <c r="D61" t="inlineStr">
        <is>
          <t>Mechanical Components</t>
        </is>
      </c>
      <c r="F61" t="inlineStr">
        <is>
          <t>Checking</t>
        </is>
      </c>
      <c r="H61" t="inlineStr">
        <is>
          <t>expense</t>
        </is>
      </c>
      <c r="I61" t="inlineStr">
        <is>
          <t>Mechanical Components</t>
        </is>
      </c>
    </row>
    <row r="62">
      <c r="A62" t="inlineStr">
        <is>
          <t>2025-11-24</t>
        </is>
      </c>
      <c r="B62" t="inlineStr">
        <is>
          <t>THORLABS 11/21 PURCHASE 973-579-7227 NJ DEBIT CARD *6768</t>
        </is>
      </c>
      <c r="C62" t="n">
        <v>-809.21</v>
      </c>
      <c r="D62" t="inlineStr">
        <is>
          <t>Optical Components</t>
        </is>
      </c>
      <c r="F62" t="inlineStr">
        <is>
          <t>Checking</t>
        </is>
      </c>
      <c r="H62" t="inlineStr">
        <is>
          <t>expense</t>
        </is>
      </c>
      <c r="I62" t="inlineStr">
        <is>
          <t>Optical Components</t>
        </is>
      </c>
    </row>
    <row r="63">
      <c r="A63" t="inlineStr">
        <is>
          <t>2025-11-28</t>
        </is>
      </c>
      <c r="B63" t="inlineStr">
        <is>
          <t>Mike Kearny Bill Payment</t>
        </is>
      </c>
      <c r="C63" t="n">
        <v>-5100</v>
      </c>
      <c r="D63" t="inlineStr">
        <is>
          <t>Labor (Consulting)</t>
        </is>
      </c>
      <c r="F63" t="inlineStr">
        <is>
          <t>Checking</t>
        </is>
      </c>
      <c r="H63" t="inlineStr">
        <is>
          <t>expense</t>
        </is>
      </c>
      <c r="I63" t="inlineStr">
        <is>
          <t>Labor (Consulting)</t>
        </is>
      </c>
    </row>
    <row r="64">
      <c r="A64" t="inlineStr">
        <is>
          <t>2025-12-02</t>
        </is>
      </c>
      <c r="B64" t="inlineStr">
        <is>
          <t>THORLABS 11/26 PURCHASE 973-579-7227 NJ DEBIT CARD *6768</t>
        </is>
      </c>
      <c r="C64" t="n">
        <v>-525.47</v>
      </c>
      <c r="D64" t="inlineStr">
        <is>
          <t>Optical Components</t>
        </is>
      </c>
      <c r="F64" t="inlineStr">
        <is>
          <t>Checking</t>
        </is>
      </c>
      <c r="H64" t="inlineStr">
        <is>
          <t>expense</t>
        </is>
      </c>
      <c r="I64" t="inlineStr">
        <is>
          <t>Optical Components</t>
        </is>
      </c>
    </row>
    <row r="65">
      <c r="A65" t="inlineStr">
        <is>
          <t>2025-12-04</t>
        </is>
      </c>
      <c r="B65" t="inlineStr">
        <is>
          <t>THORLABS 12/03 REFUND NEWTON NJ DEBIT CARD *6768</t>
        </is>
      </c>
      <c r="C65" t="n">
        <v>461.74</v>
      </c>
      <c r="D65" t="inlineStr">
        <is>
          <t>Optical Components</t>
        </is>
      </c>
      <c r="F65" t="inlineStr">
        <is>
          <t>Checking</t>
        </is>
      </c>
      <c r="H65" t="inlineStr">
        <is>
          <t>expense</t>
        </is>
      </c>
      <c r="I65" t="inlineStr">
        <is>
          <t>Optical Components</t>
        </is>
      </c>
    </row>
    <row r="66">
      <c r="A66" t="inlineStr">
        <is>
          <t>2025-12-04</t>
        </is>
      </c>
      <c r="B66" t="inlineStr">
        <is>
          <t>THORLABS 12/03 PURCHASE XXXXX97227 NJ DEBIT CARD *6768</t>
        </is>
      </c>
      <c r="C66" t="n">
        <v>-401.12</v>
      </c>
      <c r="D66" t="inlineStr">
        <is>
          <t>Optical Components</t>
        </is>
      </c>
      <c r="F66" t="inlineStr">
        <is>
          <t>Checking</t>
        </is>
      </c>
      <c r="H66" t="inlineStr">
        <is>
          <t>expense</t>
        </is>
      </c>
      <c r="I66" t="inlineStr">
        <is>
          <t>Optical Components</t>
        </is>
      </c>
    </row>
    <row r="67">
      <c r="A67" t="inlineStr">
        <is>
          <t>2025-12-05</t>
        </is>
      </c>
      <c r="B67" t="inlineStr">
        <is>
          <t>OPENAI DES:OPENAI *CH ID:ST-Y5L8O7Z4L7C4 INDN:LINK CO ID:XXXXX48598 WEB</t>
        </is>
      </c>
      <c r="C67" t="n">
        <v>-20</v>
      </c>
      <c r="D67" t="inlineStr">
        <is>
          <t>Software</t>
        </is>
      </c>
      <c r="F67" t="inlineStr">
        <is>
          <t>Checking</t>
        </is>
      </c>
      <c r="H67" t="inlineStr">
        <is>
          <t>expense</t>
        </is>
      </c>
      <c r="I67" t="inlineStr">
        <is>
          <t>Software</t>
        </is>
      </c>
    </row>
    <row r="68">
      <c r="A68" t="inlineStr">
        <is>
          <t>2025-12-08</t>
        </is>
      </c>
      <c r="B68" t="inlineStr">
        <is>
          <t>eBay O*27-1392 12/08 PURCHASE San Jose CA DEBIT CARD *6768</t>
        </is>
      </c>
      <c r="C68" t="n">
        <v>-493.88</v>
      </c>
      <c r="D68" t="inlineStr">
        <is>
          <t>Mechanical Components</t>
        </is>
      </c>
      <c r="F68" t="inlineStr">
        <is>
          <t>Checking</t>
        </is>
      </c>
      <c r="H68" t="inlineStr">
        <is>
          <t>expense</t>
        </is>
      </c>
      <c r="I68" t="inlineStr">
        <is>
          <t>Mechanical Components</t>
        </is>
      </c>
    </row>
    <row r="69">
      <c r="A69" t="inlineStr">
        <is>
          <t>2025-12-08</t>
        </is>
      </c>
      <c r="B69" t="inlineStr">
        <is>
          <t>FIGMA 12/07 PURCHASE FIGMA.COM CA DEBIT CARD *6768</t>
        </is>
      </c>
      <c r="C69" t="n">
        <v>-28.67</v>
      </c>
      <c r="D69" t="inlineStr">
        <is>
          <t>Software</t>
        </is>
      </c>
      <c r="F69" t="inlineStr">
        <is>
          <t>Checking</t>
        </is>
      </c>
      <c r="H69" t="inlineStr">
        <is>
          <t>expense</t>
        </is>
      </c>
      <c r="I69" t="inlineStr">
        <is>
          <t>Software</t>
        </is>
      </c>
    </row>
    <row r="70">
      <c r="A70" t="inlineStr">
        <is>
          <t>2025-12-09</t>
        </is>
      </c>
      <c r="B70" t="inlineStr">
        <is>
          <t>Online Banking transfer to CHK 3232 Confirmation# XXXXX57095</t>
        </is>
      </c>
      <c r="C70" t="n">
        <v>-5000</v>
      </c>
      <c r="D70" t="inlineStr">
        <is>
          <t>Labor (Consulting)</t>
        </is>
      </c>
      <c r="F70" t="inlineStr">
        <is>
          <t>Checking</t>
        </is>
      </c>
      <c r="H70" t="inlineStr">
        <is>
          <t>expense</t>
        </is>
      </c>
      <c r="I70" t="inlineStr">
        <is>
          <t>Labor (Consulting)</t>
        </is>
      </c>
    </row>
    <row r="71">
      <c r="A71" t="inlineStr">
        <is>
          <t>2025-12-09</t>
        </is>
      </c>
      <c r="B71" t="inlineStr">
        <is>
          <t>RONZANO SHEET ME DES:SALE ID: INDN:LLC BLUFIN LABS CO ID:XXXXX86202 CCD</t>
        </is>
      </c>
      <c r="C71" t="n">
        <v>-10500</v>
      </c>
      <c r="D71" t="inlineStr">
        <is>
          <t>Machining/Fabrication</t>
        </is>
      </c>
      <c r="F71" t="inlineStr">
        <is>
          <t>Checking</t>
        </is>
      </c>
      <c r="H71" t="inlineStr">
        <is>
          <t>expense</t>
        </is>
      </c>
      <c r="I71" t="inlineStr">
        <is>
          <t>Machining/Fabrication</t>
        </is>
      </c>
    </row>
    <row r="72">
      <c r="A72" t="inlineStr">
        <is>
          <t>2025-12-11</t>
        </is>
      </c>
      <c r="B72" t="inlineStr">
        <is>
          <t>eBay O*23-1394 12/11 PURCHASE San Jose CA DEBIT CARD *6768</t>
        </is>
      </c>
      <c r="C72" t="n">
        <v>-326.46</v>
      </c>
      <c r="D72" t="inlineStr">
        <is>
          <t>Mechanical Components</t>
        </is>
      </c>
      <c r="F72" t="inlineStr">
        <is>
          <t>Checking</t>
        </is>
      </c>
      <c r="H72" t="inlineStr">
        <is>
          <t>expense</t>
        </is>
      </c>
      <c r="I72" t="inlineStr">
        <is>
          <t>Mechanical Components</t>
        </is>
      </c>
    </row>
    <row r="73">
      <c r="A73" t="inlineStr">
        <is>
          <t>2025-12-18</t>
        </is>
      </c>
      <c r="B73" t="inlineStr">
        <is>
          <t>MICROCHIP TECHNOLOGY 12/14 PURCHASE 480-792-7200 AZ DEBIT CARD *6768</t>
        </is>
      </c>
      <c r="C73" t="n">
        <v>-66.09</v>
      </c>
      <c r="D73" t="inlineStr">
        <is>
          <t>Electronic Components</t>
        </is>
      </c>
      <c r="F73" t="inlineStr">
        <is>
          <t>Checking</t>
        </is>
      </c>
      <c r="H73" t="inlineStr">
        <is>
          <t>expense</t>
        </is>
      </c>
      <c r="I73" t="inlineStr">
        <is>
          <t>Electronic Components</t>
        </is>
      </c>
    </row>
    <row r="74">
      <c r="A74" t="inlineStr">
        <is>
          <t>2025-12-18</t>
        </is>
      </c>
      <c r="B74" t="inlineStr">
        <is>
          <t>INTUIT *QBooks Online 12/17 PURCHASE CL.INTUIT.COM CA DEBIT CARD *6768</t>
        </is>
      </c>
      <c r="C74" t="n">
        <v>-20</v>
      </c>
      <c r="D74" t="inlineStr">
        <is>
          <t>Software</t>
        </is>
      </c>
      <c r="F74" t="inlineStr">
        <is>
          <t>Checking</t>
        </is>
      </c>
      <c r="H74" t="inlineStr">
        <is>
          <t>expense</t>
        </is>
      </c>
      <c r="I74" t="inlineStr">
        <is>
          <t>Software</t>
        </is>
      </c>
    </row>
    <row r="75">
      <c r="A75" t="inlineStr">
        <is>
          <t>2025-12-24</t>
        </is>
      </c>
      <c r="B75" t="inlineStr">
        <is>
          <t>XOMETRY.COM 12/23 PURCHASE XOMETRY.COM MD DEBIT CARD *6768</t>
        </is>
      </c>
      <c r="C75" t="n">
        <v>-3211.61</v>
      </c>
      <c r="D75" t="inlineStr">
        <is>
          <t>Machining/Fabrication</t>
        </is>
      </c>
      <c r="F75" t="inlineStr">
        <is>
          <t>Checking</t>
        </is>
      </c>
      <c r="H75" t="inlineStr">
        <is>
          <t>expense</t>
        </is>
      </c>
      <c r="I75" t="inlineStr">
        <is>
          <t>Machining/Fabrication</t>
        </is>
      </c>
    </row>
    <row r="76">
      <c r="A76" t="inlineStr">
        <is>
          <t>2025-12-26</t>
        </is>
      </c>
      <c r="B76" t="inlineStr">
        <is>
          <t>Mike Kearny Bill Payment</t>
        </is>
      </c>
      <c r="C76" t="n">
        <v>-5000</v>
      </c>
      <c r="D76" t="inlineStr">
        <is>
          <t>Labor (Consulting)</t>
        </is>
      </c>
      <c r="F76" t="inlineStr">
        <is>
          <t>Checking</t>
        </is>
      </c>
      <c r="H76" t="inlineStr">
        <is>
          <t>expense</t>
        </is>
      </c>
      <c r="I76" t="inlineStr">
        <is>
          <t>Labor (Consulting)</t>
        </is>
      </c>
    </row>
    <row r="77">
      <c r="A77" t="inlineStr">
        <is>
          <t>2025-12-30</t>
        </is>
      </c>
      <c r="B77" t="inlineStr">
        <is>
          <t>DKC*DIGI KEY CORP 12/27 PURCHASE 800-344-4539 MN DEBIT CARD *6768</t>
        </is>
      </c>
      <c r="C77" t="n">
        <v>-25.81</v>
      </c>
      <c r="D77" t="inlineStr">
        <is>
          <t>Electronic Components</t>
        </is>
      </c>
      <c r="F77" t="inlineStr">
        <is>
          <t>Checking</t>
        </is>
      </c>
      <c r="H77" t="inlineStr">
        <is>
          <t>expense</t>
        </is>
      </c>
      <c r="I77" t="inlineStr">
        <is>
          <t>Electronic Components</t>
        </is>
      </c>
    </row>
    <row r="78">
      <c r="A78" t="inlineStr">
        <is>
          <t>2025-12-30</t>
        </is>
      </c>
      <c r="B78" t="inlineStr">
        <is>
          <t>XOMETRY.COM 12/29 PURCHASE XOMETRY.COM MD DEBIT CARD *6768</t>
        </is>
      </c>
      <c r="C78" t="n">
        <v>-492.89</v>
      </c>
      <c r="D78" t="inlineStr">
        <is>
          <t>Machining/Fabrication</t>
        </is>
      </c>
      <c r="F78" t="inlineStr">
        <is>
          <t>Checking</t>
        </is>
      </c>
      <c r="H78" t="inlineStr">
        <is>
          <t>expense</t>
        </is>
      </c>
      <c r="I78" t="inlineStr">
        <is>
          <t>Machining/Fabrication</t>
        </is>
      </c>
    </row>
    <row r="79">
      <c r="A79" t="inlineStr">
        <is>
          <t>2026-01-05</t>
        </is>
      </c>
      <c r="B79" t="inlineStr">
        <is>
          <t>OPENAI DES:OPENAI *CH ID:ST-V0T8Y3Y0D0C2 INDN:LINK CO ID:XXXXX65600 WEB</t>
        </is>
      </c>
      <c r="C79" t="n">
        <v>-20</v>
      </c>
      <c r="D79" t="inlineStr">
        <is>
          <t>Software</t>
        </is>
      </c>
      <c r="F79" t="inlineStr">
        <is>
          <t>Checking</t>
        </is>
      </c>
      <c r="H79" t="inlineStr">
        <is>
          <t>expense</t>
        </is>
      </c>
      <c r="I79" t="inlineStr">
        <is>
          <t>Software</t>
        </is>
      </c>
    </row>
    <row r="80">
      <c r="A80" t="inlineStr">
        <is>
          <t>2026-01-06</t>
        </is>
      </c>
      <c r="B80" t="inlineStr">
        <is>
          <t>THORLABS 01/05 PURCHASE 973-579-7227 NJ DEBIT CARD *6768</t>
        </is>
      </c>
      <c r="C80" t="n">
        <v>-590.77</v>
      </c>
      <c r="D80" t="inlineStr">
        <is>
          <t>Optical Components</t>
        </is>
      </c>
      <c r="F80" t="inlineStr">
        <is>
          <t>Checking</t>
        </is>
      </c>
      <c r="H80" t="inlineStr">
        <is>
          <t>expense</t>
        </is>
      </c>
      <c r="I80" t="inlineStr">
        <is>
          <t>Optical Components</t>
        </is>
      </c>
    </row>
    <row r="81">
      <c r="A81" t="inlineStr">
        <is>
          <t>2026-01-08</t>
        </is>
      </c>
      <c r="B81" t="inlineStr">
        <is>
          <t>FIGMA 01/07 PURCHASE FIGMA.COM CA DEBIT CARD *6768</t>
        </is>
      </c>
      <c r="C81" t="n">
        <v>-20</v>
      </c>
      <c r="D81" t="inlineStr">
        <is>
          <t>Software</t>
        </is>
      </c>
      <c r="F81" t="inlineStr">
        <is>
          <t>Checking</t>
        </is>
      </c>
      <c r="H81" t="inlineStr">
        <is>
          <t>expense</t>
        </is>
      </c>
      <c r="I81" t="inlineStr">
        <is>
          <t>Software</t>
        </is>
      </c>
    </row>
    <row r="82">
      <c r="A82" t="inlineStr">
        <is>
          <t>2026-01-16</t>
        </is>
      </c>
      <c r="B82" t="inlineStr">
        <is>
          <t>D30697903 01/15 PURCHASE 180-072-2008 FL DEBIT CARD *6768</t>
        </is>
      </c>
      <c r="C82" t="n">
        <v>-26.34</v>
      </c>
      <c r="D82" t="inlineStr">
        <is>
          <t>Shipping Fees</t>
        </is>
      </c>
      <c r="F82" t="inlineStr">
        <is>
          <t>Checking</t>
        </is>
      </c>
      <c r="H82" t="inlineStr">
        <is>
          <t>expense</t>
        </is>
      </c>
      <c r="I82" t="inlineStr">
        <is>
          <t>Shipping Fees</t>
        </is>
      </c>
    </row>
    <row r="83">
      <c r="A83" t="inlineStr">
        <is>
          <t>2026-01-20</t>
        </is>
      </c>
      <c r="B83" t="inlineStr">
        <is>
          <t>THORLABS 01/16 REFUND NEWTON NJ DEBIT CARD *6768</t>
        </is>
      </c>
      <c r="C83" t="n">
        <v>188.36</v>
      </c>
      <c r="D83" t="inlineStr">
        <is>
          <t>Optical Components</t>
        </is>
      </c>
      <c r="F83" t="inlineStr">
        <is>
          <t>Checking</t>
        </is>
      </c>
      <c r="H83" t="inlineStr">
        <is>
          <t>expense</t>
        </is>
      </c>
      <c r="I83" t="inlineStr">
        <is>
          <t>Optical Components</t>
        </is>
      </c>
    </row>
    <row r="84">
      <c r="A84" t="inlineStr">
        <is>
          <t>2026-01-20</t>
        </is>
      </c>
      <c r="B84" t="inlineStr">
        <is>
          <t>INTUIT *QBooks Online 01/17 PURCHASE CL.INTUIT.COM CA DEBIT CARD *6768</t>
        </is>
      </c>
      <c r="C84" t="n">
        <v>-20</v>
      </c>
      <c r="D84" t="inlineStr">
        <is>
          <t>Software</t>
        </is>
      </c>
      <c r="F84" t="inlineStr">
        <is>
          <t>Checking</t>
        </is>
      </c>
      <c r="H84" t="inlineStr">
        <is>
          <t>expense</t>
        </is>
      </c>
      <c r="I84" t="inlineStr">
        <is>
          <t>Software</t>
        </is>
      </c>
    </row>
    <row r="85">
      <c r="A85" t="inlineStr">
        <is>
          <t>2026-01-23</t>
        </is>
      </c>
      <c r="B85" t="inlineStr">
        <is>
          <t>XOMETRY.COM 01/22 PURCHASE XOMETRY.COM MD DEBIT CARD *6768</t>
        </is>
      </c>
      <c r="C85" t="n">
        <v>-432.45</v>
      </c>
      <c r="D85" t="inlineStr">
        <is>
          <t>Machining/Fabrication</t>
        </is>
      </c>
      <c r="F85" t="inlineStr">
        <is>
          <t>Checking</t>
        </is>
      </c>
      <c r="H85" t="inlineStr">
        <is>
          <t>expense</t>
        </is>
      </c>
      <c r="I85" t="inlineStr">
        <is>
          <t>Machining/Fabrication</t>
        </is>
      </c>
    </row>
    <row r="86">
      <c r="A86" t="inlineStr">
        <is>
          <t>2026-01-30</t>
        </is>
      </c>
      <c r="B86" t="inlineStr">
        <is>
          <t>Mike Kearny Bill Payment</t>
        </is>
      </c>
      <c r="C86" t="n">
        <v>-5000</v>
      </c>
      <c r="D86" t="inlineStr">
        <is>
          <t>Labor (Consulting)</t>
        </is>
      </c>
      <c r="F86" t="inlineStr">
        <is>
          <t>Checking</t>
        </is>
      </c>
      <c r="H86" t="inlineStr">
        <is>
          <t>expense</t>
        </is>
      </c>
      <c r="I86" t="inlineStr">
        <is>
          <t>Labor (Consulting)</t>
        </is>
      </c>
    </row>
    <row r="87">
      <c r="A87" t="inlineStr">
        <is>
          <t>2026-02-02</t>
        </is>
      </c>
      <c r="B87" t="inlineStr">
        <is>
          <t>MCMASTER-CARR 01/31 PURCHASE 630-834-9600 IL DEBIT CARD *6768</t>
        </is>
      </c>
      <c r="C87" t="n">
        <v>-298.1</v>
      </c>
      <c r="D87" t="inlineStr">
        <is>
          <t>Mechanical Components</t>
        </is>
      </c>
      <c r="F87" t="inlineStr">
        <is>
          <t>Checking</t>
        </is>
      </c>
      <c r="H87" t="inlineStr">
        <is>
          <t>expense</t>
        </is>
      </c>
      <c r="I87" t="inlineStr">
        <is>
          <t>Mechanical Components</t>
        </is>
      </c>
    </row>
    <row r="88">
      <c r="A88" t="inlineStr">
        <is>
          <t>2026-02-03</t>
        </is>
      </c>
      <c r="B88" t="inlineStr">
        <is>
          <t>CENTRAL COMPUTERS, INC 02/01 PURCHASE 408-248-5888 CA DEBIT CARD *6768</t>
        </is>
      </c>
      <c r="C88" t="n">
        <v>-21.77</v>
      </c>
      <c r="D88" t="inlineStr">
        <is>
          <t>Electronic Components</t>
        </is>
      </c>
      <c r="F88" t="inlineStr">
        <is>
          <t>Checking</t>
        </is>
      </c>
      <c r="H88" t="inlineStr">
        <is>
          <t>expense</t>
        </is>
      </c>
      <c r="I88" t="inlineStr">
        <is>
          <t>Electronic Components</t>
        </is>
      </c>
    </row>
    <row r="89">
      <c r="A89" t="inlineStr">
        <is>
          <t>2026-02-05</t>
        </is>
      </c>
      <c r="B89" t="inlineStr">
        <is>
          <t>THORLABS 02/03 PURCHASE 973-579-7227 NJ DEBIT CARD *6768</t>
        </is>
      </c>
      <c r="C89" t="n">
        <v>-184.21</v>
      </c>
      <c r="D89" t="inlineStr">
        <is>
          <t>Optical Components</t>
        </is>
      </c>
      <c r="F89" t="inlineStr">
        <is>
          <t>Checking</t>
        </is>
      </c>
      <c r="H89" t="inlineStr">
        <is>
          <t>expense</t>
        </is>
      </c>
      <c r="I89" t="inlineStr">
        <is>
          <t>Optical Components</t>
        </is>
      </c>
    </row>
    <row r="90">
      <c r="A90" t="inlineStr">
        <is>
          <t>2026-02-05</t>
        </is>
      </c>
      <c r="B90" t="inlineStr">
        <is>
          <t>OPENAI DES:OPENAI *CH ID:ST-F8T2F5B1L9G2 INDN:LINK CO ID:XXXXX48598 WEB</t>
        </is>
      </c>
      <c r="C90" t="n">
        <v>-20</v>
      </c>
      <c r="D90" t="inlineStr">
        <is>
          <t>Software</t>
        </is>
      </c>
      <c r="F90" t="inlineStr">
        <is>
          <t>Checking</t>
        </is>
      </c>
      <c r="H90" t="inlineStr">
        <is>
          <t>expense</t>
        </is>
      </c>
      <c r="I90" t="inlineStr">
        <is>
          <t>Software</t>
        </is>
      </c>
    </row>
    <row r="91">
      <c r="A91" t="inlineStr">
        <is>
          <t>2026-02-06</t>
        </is>
      </c>
      <c r="B91" t="inlineStr">
        <is>
          <t>XOMETRY.COM 02/05 PURCHASE XOMETRY.COM MD DEBIT CARD *6768</t>
        </is>
      </c>
      <c r="C91" t="n">
        <v>-66</v>
      </c>
      <c r="D91" t="inlineStr">
        <is>
          <t>Machining/Fabrication</t>
        </is>
      </c>
      <c r="F91" t="inlineStr">
        <is>
          <t>Checking</t>
        </is>
      </c>
      <c r="H91" t="inlineStr">
        <is>
          <t>expense</t>
        </is>
      </c>
      <c r="I91" t="inlineStr">
        <is>
          <t>Machining/Fabrication</t>
        </is>
      </c>
    </row>
    <row r="92">
      <c r="A92" t="inlineStr">
        <is>
          <t>2026-02-09</t>
        </is>
      </c>
      <c r="B92" t="inlineStr">
        <is>
          <t>ADVANCED CIRCUITS 02/06 PURCHASE XXX-XX66610 CO DEBIT CARD *6768</t>
        </is>
      </c>
      <c r="C92" t="n">
        <v>-1556.5</v>
      </c>
      <c r="D92" t="inlineStr">
        <is>
          <t>Machining/Fabrication</t>
        </is>
      </c>
      <c r="F92" t="inlineStr">
        <is>
          <t>Checking</t>
        </is>
      </c>
      <c r="H92" t="inlineStr">
        <is>
          <t>expense</t>
        </is>
      </c>
      <c r="I92" t="inlineStr">
        <is>
          <t>Machining/Fabrication</t>
        </is>
      </c>
    </row>
    <row r="93">
      <c r="A93" t="inlineStr">
        <is>
          <t>2026-02-09</t>
        </is>
      </c>
      <c r="B93" t="inlineStr">
        <is>
          <t>FIGMA 02/07 PURCHASE FIGMA.COM CA DEBIT CARD *6768</t>
        </is>
      </c>
      <c r="C93" t="n">
        <v>-20</v>
      </c>
      <c r="D93" t="inlineStr">
        <is>
          <t>Software</t>
        </is>
      </c>
      <c r="F93" t="inlineStr">
        <is>
          <t>Checking</t>
        </is>
      </c>
      <c r="H93" t="inlineStr">
        <is>
          <t>expense</t>
        </is>
      </c>
      <c r="I93" t="inlineStr">
        <is>
          <t>Software</t>
        </is>
      </c>
    </row>
    <row r="94">
      <c r="A94" t="inlineStr">
        <is>
          <t>2026-02-09</t>
        </is>
      </c>
      <c r="B94" t="inlineStr">
        <is>
          <t>MCMASTER-CARR 02/06 PURCHASE 630-834-9600 IL DEBIT CARD *6768</t>
        </is>
      </c>
      <c r="C94" t="n">
        <v>-161.72</v>
      </c>
      <c r="D94" t="inlineStr">
        <is>
          <t>Mechanical Components</t>
        </is>
      </c>
      <c r="F94" t="inlineStr">
        <is>
          <t>Checking</t>
        </is>
      </c>
      <c r="H94" t="inlineStr">
        <is>
          <t>expense</t>
        </is>
      </c>
      <c r="I94" t="inlineStr">
        <is>
          <t>Mechanical Components</t>
        </is>
      </c>
    </row>
    <row r="95">
      <c r="A95" t="inlineStr">
        <is>
          <t>2026-02-18</t>
        </is>
      </c>
      <c r="B95" t="inlineStr">
        <is>
          <t>INTUIT *QBooks Online 02/17 PURCHASE CL.INTUIT.COM CA DEBIT CARD *6768</t>
        </is>
      </c>
      <c r="C95" t="n">
        <v>-20</v>
      </c>
      <c r="D95" t="inlineStr">
        <is>
          <t>Software</t>
        </is>
      </c>
      <c r="F95" t="inlineStr">
        <is>
          <t>Checking</t>
        </is>
      </c>
      <c r="H95" t="inlineStr">
        <is>
          <t>expense</t>
        </is>
      </c>
      <c r="I95" t="inlineStr">
        <is>
          <t>Software</t>
        </is>
      </c>
    </row>
    <row r="96">
      <c r="A96" t="inlineStr">
        <is>
          <t>2026-02-18</t>
        </is>
      </c>
      <c r="B96" t="inlineStr">
        <is>
          <t>DESIGNCON 02/17 PURCHASE DESIGNCON.COM NY DEBIT CARD *6768</t>
        </is>
      </c>
      <c r="C96" t="n">
        <v>-39</v>
      </c>
      <c r="D96" t="inlineStr">
        <is>
          <t>Subscriptions and Memberships</t>
        </is>
      </c>
      <c r="F96" t="inlineStr">
        <is>
          <t>Checking</t>
        </is>
      </c>
      <c r="H96" t="inlineStr">
        <is>
          <t>expense</t>
        </is>
      </c>
      <c r="I96" t="inlineStr">
        <is>
          <t>Subscriptions and Memberships</t>
        </is>
      </c>
    </row>
    <row r="97">
      <c r="A97" t="inlineStr">
        <is>
          <t>2026-02-19</t>
        </is>
      </c>
      <c r="B97" t="inlineStr">
        <is>
          <t>NEWEGG INC. 02/18 PURCHASE 800-390-1119 CA DEBIT CARD *6768</t>
        </is>
      </c>
      <c r="C97" t="n">
        <v>-317.98</v>
      </c>
      <c r="D97" t="inlineStr">
        <is>
          <t>Office Expenses</t>
        </is>
      </c>
      <c r="F97" t="inlineStr">
        <is>
          <t>Checking</t>
        </is>
      </c>
      <c r="H97" t="inlineStr">
        <is>
          <t>expense</t>
        </is>
      </c>
      <c r="I97" t="inlineStr">
        <is>
          <t>Office Expenses</t>
        </is>
      </c>
    </row>
    <row r="98">
      <c r="A98" t="inlineStr">
        <is>
          <t>2026-02-20</t>
        </is>
      </c>
      <c r="B98" t="inlineStr">
        <is>
          <t>DKC*DIGI KEY CORP 02/17 PURCHASE 800-344-4539 MN DEBIT CARD *6768</t>
        </is>
      </c>
      <c r="C98" t="n">
        <v>-24.07</v>
      </c>
      <c r="D98" t="inlineStr">
        <is>
          <t>Electronic Components</t>
        </is>
      </c>
      <c r="F98" t="inlineStr">
        <is>
          <t>Checking</t>
        </is>
      </c>
      <c r="H98" t="inlineStr">
        <is>
          <t>expense</t>
        </is>
      </c>
      <c r="I98" t="inlineStr">
        <is>
          <t>Electronic Components</t>
        </is>
      </c>
    </row>
    <row r="99">
      <c r="A99" t="inlineStr">
        <is>
          <t>2026-02-23</t>
        </is>
      </c>
      <c r="B99" t="inlineStr">
        <is>
          <t>Online Banking transfer to CHK 3232 Confirmation# XXXXX23186</t>
        </is>
      </c>
      <c r="C99" t="n">
        <v>-5000</v>
      </c>
      <c r="D99" t="inlineStr">
        <is>
          <t>Labor (Consulting)</t>
        </is>
      </c>
      <c r="F99" t="inlineStr">
        <is>
          <t>Checking</t>
        </is>
      </c>
      <c r="H99" t="inlineStr">
        <is>
          <t>expense</t>
        </is>
      </c>
      <c r="I99" t="inlineStr">
        <is>
          <t>Labor (Consulting)</t>
        </is>
      </c>
    </row>
    <row r="100">
      <c r="A100" t="inlineStr">
        <is>
          <t>2026-02-25</t>
        </is>
      </c>
      <c r="B100" t="inlineStr">
        <is>
          <t>MCMASTER-CARR 02/24 PURCHASE 630-834-9600 IL DEBIT CARD *6768</t>
        </is>
      </c>
      <c r="C100" t="n">
        <v>-25.11</v>
      </c>
      <c r="D100" t="inlineStr">
        <is>
          <t>Mechanical Components</t>
        </is>
      </c>
      <c r="F100" t="inlineStr">
        <is>
          <t>Checking</t>
        </is>
      </c>
      <c r="H100" t="inlineStr">
        <is>
          <t>expense</t>
        </is>
      </c>
      <c r="I100" t="inlineStr">
        <is>
          <t>Mechanical Components</t>
        </is>
      </c>
    </row>
    <row r="101">
      <c r="A101" t="inlineStr">
        <is>
          <t>2026-02-26</t>
        </is>
      </c>
      <c r="B101" t="inlineStr">
        <is>
          <t>WESTSIDE HARDWARE 02/25 PURCHASE SANTA CRUZ CA DEBIT CARD *6768</t>
        </is>
      </c>
      <c r="C101" t="n">
        <v>-15.94</v>
      </c>
      <c r="D101" t="inlineStr">
        <is>
          <t>Mechanical Components</t>
        </is>
      </c>
      <c r="F101" t="inlineStr">
        <is>
          <t>Checking</t>
        </is>
      </c>
      <c r="H101" t="inlineStr">
        <is>
          <t>expense</t>
        </is>
      </c>
      <c r="I101" t="inlineStr">
        <is>
          <t>Mechanical Components</t>
        </is>
      </c>
    </row>
    <row r="102">
      <c r="A102" t="inlineStr">
        <is>
          <t>2026-02-27</t>
        </is>
      </c>
      <c r="B102" t="inlineStr">
        <is>
          <t>Mike Kearny Bill Payment</t>
        </is>
      </c>
      <c r="C102" t="n">
        <v>-5000</v>
      </c>
      <c r="D102" t="inlineStr">
        <is>
          <t>Labor (Consulting)</t>
        </is>
      </c>
      <c r="F102" t="inlineStr">
        <is>
          <t>Checking</t>
        </is>
      </c>
      <c r="H102" t="inlineStr">
        <is>
          <t>expense</t>
        </is>
      </c>
      <c r="I102" t="inlineStr">
        <is>
          <t>Labor (Consulting)</t>
        </is>
      </c>
    </row>
    <row r="103">
      <c r="A103" t="inlineStr">
        <is>
          <t>2026-03-02</t>
        </is>
      </c>
      <c r="B103" t="inlineStr">
        <is>
          <t>XOMETRY.COM 02/27 PURCHASE XOMETRY.COM MD DEBIT CARD *6768</t>
        </is>
      </c>
      <c r="C103" t="n">
        <v>-750.1900000000001</v>
      </c>
      <c r="D103" t="inlineStr">
        <is>
          <t>Machining/Fabrication</t>
        </is>
      </c>
      <c r="F103" t="inlineStr">
        <is>
          <t>Checking</t>
        </is>
      </c>
      <c r="H103" t="inlineStr">
        <is>
          <t>expense</t>
        </is>
      </c>
      <c r="I103" t="inlineStr">
        <is>
          <t>Machining/Fabrication</t>
        </is>
      </c>
    </row>
    <row r="104">
      <c r="A104" t="inlineStr">
        <is>
          <t>2026-03-05</t>
        </is>
      </c>
      <c r="B104" t="inlineStr">
        <is>
          <t>OPENAI DES:OPENAI *CH ID:ST-P7K6T1N9I9Y4 INDN:LINK CO ID:XXXXX48598 WEB</t>
        </is>
      </c>
      <c r="C104" t="n">
        <v>-20</v>
      </c>
      <c r="D104" t="inlineStr">
        <is>
          <t>Software</t>
        </is>
      </c>
      <c r="F104" t="inlineStr">
        <is>
          <t>Checking</t>
        </is>
      </c>
      <c r="H104" t="inlineStr">
        <is>
          <t>expense</t>
        </is>
      </c>
      <c r="I104" t="inlineStr">
        <is>
          <t>Software</t>
        </is>
      </c>
    </row>
    <row r="105">
      <c r="A105" t="inlineStr">
        <is>
          <t>2026-03-09</t>
        </is>
      </c>
      <c r="B105" t="inlineStr">
        <is>
          <t>FIGMA 03/07 PURCHASE FIGMA.COM CA DEBIT CARD *6768</t>
        </is>
      </c>
      <c r="C105" t="n">
        <v>-20</v>
      </c>
      <c r="D105" t="inlineStr">
        <is>
          <t>Software</t>
        </is>
      </c>
      <c r="F105" t="inlineStr">
        <is>
          <t>Checking</t>
        </is>
      </c>
      <c r="H105" t="inlineStr">
        <is>
          <t>expense</t>
        </is>
      </c>
      <c r="I105" t="inlineStr">
        <is>
          <t>Software</t>
        </is>
      </c>
    </row>
    <row r="106">
      <c r="A106" t="inlineStr">
        <is>
          <t>2026-03-10</t>
        </is>
      </c>
      <c r="B106" t="inlineStr">
        <is>
          <t>CLICKAWAY - SANTA CRUZ 03/09 PURCHASE SANTA CRUZ CA DEBIT CARD *6768</t>
        </is>
      </c>
      <c r="C106" t="n">
        <v>-199.99</v>
      </c>
      <c r="D106" t="inlineStr">
        <is>
          <t>Office Expenses</t>
        </is>
      </c>
      <c r="F106" t="inlineStr">
        <is>
          <t>Checking</t>
        </is>
      </c>
      <c r="H106" t="inlineStr">
        <is>
          <t>expense</t>
        </is>
      </c>
      <c r="I106" t="inlineStr">
        <is>
          <t>Office Expenses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17" customWidth="1" min="3" max="3"/>
    <col width="18" customWidth="1" min="4" max="4"/>
    <col width="1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1" customWidth="1" min="12" max="12"/>
    <col width="9" customWidth="1" min="13" max="13"/>
    <col width="9" customWidth="1" min="14" max="14"/>
    <col width="16" customWidth="1" min="15" max="15"/>
    <col width="20" customWidth="1" min="16" max="16"/>
  </cols>
  <sheetData>
    <row r="1">
      <c r="A1" s="1" t="inlineStr">
        <is>
          <t>Blufin Labs Financial Summary</t>
        </is>
      </c>
    </row>
    <row r="2">
      <c r="A2" t="inlineStr">
        <is>
          <t>Period: 2025-01-01 to 2025-03-31</t>
        </is>
      </c>
    </row>
    <row r="3"/>
    <row r="4">
      <c r="A4" s="2" t="inlineStr">
        <is>
          <t>Item</t>
        </is>
      </c>
      <c r="B4" s="2" t="inlineStr">
        <is>
          <t>Amount</t>
        </is>
      </c>
    </row>
    <row r="5">
      <c r="A5" t="inlineStr">
        <is>
          <t>Beginning balance (2025-01-01)</t>
        </is>
      </c>
      <c r="B5" s="3" t="n">
        <v>12330.36</v>
      </c>
    </row>
    <row r="6">
      <c r="A6" t="inlineStr">
        <is>
          <t>Total credits (period)</t>
        </is>
      </c>
      <c r="B6" s="3" t="n">
        <v>12000</v>
      </c>
    </row>
    <row r="7">
      <c r="A7" t="inlineStr">
        <is>
          <t>Total debits (period)</t>
        </is>
      </c>
      <c r="B7" s="3" t="n">
        <v>-2905.72</v>
      </c>
    </row>
    <row r="8">
      <c r="A8" t="inlineStr">
        <is>
          <t>Ending balance (2025-03-31)</t>
        </is>
      </c>
      <c r="B8" s="3" t="n">
        <v>21424.64</v>
      </c>
    </row>
    <row r="9"/>
    <row r="10">
      <c r="A10" s="2" t="inlineStr">
        <is>
          <t>Customer</t>
        </is>
      </c>
      <c r="B10" s="2" t="inlineStr">
        <is>
          <t>Income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Month</t>
        </is>
      </c>
      <c r="M10" s="2" t="inlineStr">
        <is>
          <t>Income</t>
        </is>
      </c>
      <c r="N10" s="2" t="inlineStr">
        <is>
          <t>Expense</t>
        </is>
      </c>
      <c r="O10" s="2" t="inlineStr">
        <is>
          <t>Rolling Income</t>
        </is>
      </c>
      <c r="P10" s="2" t="inlineStr">
        <is>
          <t>Rolling Expense</t>
        </is>
      </c>
    </row>
    <row r="11">
      <c r="A11" t="inlineStr">
        <is>
          <t>Precitec</t>
        </is>
      </c>
      <c r="B11" s="3" t="n">
        <v>12000</v>
      </c>
      <c r="L11" s="4" t="n">
        <v>45627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L12" s="4" t="n">
        <v>45658</v>
      </c>
      <c r="M12" s="3" t="n">
        <v>12000</v>
      </c>
      <c r="N12" s="3" t="n">
        <v>76.75</v>
      </c>
      <c r="O12" s="3" t="n">
        <v>12000</v>
      </c>
      <c r="P12" s="3" t="n">
        <v>76.75</v>
      </c>
    </row>
    <row r="13">
      <c r="L13" s="4" t="n">
        <v>45689</v>
      </c>
      <c r="M13" s="3" t="n">
        <v>0</v>
      </c>
      <c r="N13" s="3" t="n">
        <v>2000</v>
      </c>
      <c r="O13" s="3" t="n">
        <v>12000</v>
      </c>
      <c r="P13" s="3" t="n">
        <v>2076.75</v>
      </c>
    </row>
    <row r="14">
      <c r="L14" s="4" t="n">
        <v>45717</v>
      </c>
      <c r="M14" s="3" t="n">
        <v>0</v>
      </c>
      <c r="N14" s="3" t="n">
        <v>828.97</v>
      </c>
      <c r="O14" s="3" t="n">
        <v>12000</v>
      </c>
      <c r="P14" s="3" t="n">
        <v>2905.72</v>
      </c>
    </row>
    <row r="15"/>
    <row r="16"/>
    <row r="17"/>
    <row r="18"/>
    <row r="19"/>
    <row r="20"/>
    <row r="21"/>
    <row r="22"/>
    <row r="23"/>
    <row r="24"/>
    <row r="25"/>
    <row r="26"/>
    <row r="27"/>
    <row r="28">
      <c r="A28" s="5" t="inlineStr">
        <is>
          <t>Quarter Comparison: Current (2025-01-01 to 2025-03-31) vs Previous (2024-10-01 to 2024-12-31)</t>
        </is>
      </c>
    </row>
    <row r="29">
      <c r="A29" s="2" t="inlineStr">
        <is>
          <t>Section</t>
        </is>
      </c>
      <c r="B29" s="2" t="inlineStr">
        <is>
          <t>Line Item</t>
        </is>
      </c>
      <c r="C29" s="2" t="inlineStr">
        <is>
          <t>Current Quarter</t>
        </is>
      </c>
      <c r="D29" s="2" t="inlineStr">
        <is>
          <t>Previous Quarter</t>
        </is>
      </c>
      <c r="E29" s="2" t="inlineStr">
        <is>
          <t>Pct Change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t="inlineStr">
        <is>
          <t>Income</t>
        </is>
      </c>
      <c r="B30" t="inlineStr">
        <is>
          <t>Consulting Revenue</t>
        </is>
      </c>
      <c r="C30" s="3" t="n">
        <v>12000</v>
      </c>
      <c r="D30" s="3" t="n">
        <v>0</v>
      </c>
      <c r="E30" s="6" t="n"/>
    </row>
    <row r="31">
      <c r="A31" t="inlineStr">
        <is>
          <t>Expense</t>
        </is>
      </c>
      <c r="B31" t="inlineStr">
        <is>
          <t>Electronic Components</t>
        </is>
      </c>
      <c r="C31" s="3" t="n">
        <v>492.47</v>
      </c>
      <c r="D31" s="3" t="n">
        <v>0</v>
      </c>
      <c r="E31" s="6" t="n"/>
    </row>
    <row r="32">
      <c r="A32" t="inlineStr">
        <is>
          <t>Expense</t>
        </is>
      </c>
      <c r="B32" t="inlineStr">
        <is>
          <t>Labor (Consulting)</t>
        </is>
      </c>
      <c r="C32" s="3" t="n">
        <v>2000</v>
      </c>
      <c r="D32" s="3" t="n">
        <v>0</v>
      </c>
      <c r="E32" s="6" t="n"/>
    </row>
    <row r="33">
      <c r="A33" t="inlineStr">
        <is>
          <t>Expense</t>
        </is>
      </c>
      <c r="B33" t="inlineStr">
        <is>
          <t>Shipping Fees</t>
        </is>
      </c>
      <c r="C33" s="3" t="n">
        <v>65.25</v>
      </c>
      <c r="D33" s="3" t="n">
        <v>0</v>
      </c>
      <c r="E33" s="6" t="n"/>
    </row>
    <row r="34">
      <c r="A34" t="inlineStr">
        <is>
          <t>Expense</t>
        </is>
      </c>
      <c r="B34" t="inlineStr">
        <is>
          <t>Software</t>
        </is>
      </c>
      <c r="C34" s="3" t="n">
        <v>348</v>
      </c>
      <c r="D34" s="3" t="n">
        <v>0</v>
      </c>
      <c r="E34" s="6" t="n"/>
    </row>
    <row r="35">
      <c r="A35" t="inlineStr">
        <is>
          <t>Income</t>
        </is>
      </c>
      <c r="B35" t="inlineStr">
        <is>
          <t>Total Income</t>
        </is>
      </c>
      <c r="C35" s="3" t="n">
        <v>12000</v>
      </c>
      <c r="D35" s="3" t="n">
        <v>0</v>
      </c>
      <c r="E35" s="6" t="n"/>
    </row>
    <row r="36">
      <c r="A36" t="inlineStr">
        <is>
          <t>Expenses</t>
        </is>
      </c>
      <c r="B36" t="inlineStr">
        <is>
          <t>Total Expenses</t>
        </is>
      </c>
      <c r="C36" s="3" t="n">
        <v>2905.72</v>
      </c>
      <c r="D36" s="3" t="n">
        <v>-0</v>
      </c>
      <c r="E36" s="6" t="n"/>
    </row>
    <row r="37">
      <c r="A37" t="inlineStr">
        <is>
          <t>Summary</t>
        </is>
      </c>
      <c r="B37" t="inlineStr">
        <is>
          <t>Net Income</t>
        </is>
      </c>
      <c r="C37" s="3" t="n">
        <v>9094.280000000001</v>
      </c>
      <c r="D37" s="3" t="n">
        <v>0</v>
      </c>
      <c r="E37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6" customWidth="1" min="3" max="3"/>
  </cols>
  <sheetData>
    <row r="1">
      <c r="A1" s="2" t="inlineStr">
        <is>
          <t>Section</t>
        </is>
      </c>
      <c r="B1" s="2" t="inlineStr">
        <is>
          <t>Line Item</t>
        </is>
      </c>
      <c r="C1" s="2" t="inlineStr">
        <is>
          <t>2025-01-01 to 2025-03-31</t>
        </is>
      </c>
    </row>
    <row r="2">
      <c r="A2" t="inlineStr">
        <is>
          <t>Income</t>
        </is>
      </c>
      <c r="B2" t="inlineStr">
        <is>
          <t>Consulting Revenue</t>
        </is>
      </c>
      <c r="C2" s="3" t="n">
        <v>12000</v>
      </c>
    </row>
    <row r="3">
      <c r="A3" t="inlineStr">
        <is>
          <t>Income</t>
        </is>
      </c>
      <c r="B3" t="inlineStr">
        <is>
          <t>Total Income</t>
        </is>
      </c>
      <c r="C3" s="3" t="n">
        <v>12000</v>
      </c>
    </row>
    <row r="4">
      <c r="A4" t="inlineStr">
        <is>
          <t>Expenses</t>
        </is>
      </c>
      <c r="B4" t="inlineStr">
        <is>
          <t>Electronic Components</t>
        </is>
      </c>
      <c r="C4" s="3" t="n">
        <v>492.47</v>
      </c>
    </row>
    <row r="5">
      <c r="A5" t="inlineStr">
        <is>
          <t>Expenses</t>
        </is>
      </c>
      <c r="B5" t="inlineStr">
        <is>
          <t>Labor (Consulting)</t>
        </is>
      </c>
      <c r="C5" s="3" t="n">
        <v>2000</v>
      </c>
    </row>
    <row r="6">
      <c r="A6" t="inlineStr">
        <is>
          <t>Expenses</t>
        </is>
      </c>
      <c r="B6" t="inlineStr">
        <is>
          <t>Shipping Fees</t>
        </is>
      </c>
      <c r="C6" s="3" t="n">
        <v>65.25</v>
      </c>
    </row>
    <row r="7">
      <c r="A7" t="inlineStr">
        <is>
          <t>Expenses</t>
        </is>
      </c>
      <c r="B7" t="inlineStr">
        <is>
          <t>Software</t>
        </is>
      </c>
      <c r="C7" s="3" t="n">
        <v>348</v>
      </c>
    </row>
    <row r="8">
      <c r="A8" t="inlineStr">
        <is>
          <t>Expenses</t>
        </is>
      </c>
      <c r="B8" t="inlineStr">
        <is>
          <t>Total Expenses</t>
        </is>
      </c>
      <c r="C8" s="3" t="n">
        <v>2905.72</v>
      </c>
    </row>
    <row r="9">
      <c r="A9" t="inlineStr">
        <is>
          <t>Summary</t>
        </is>
      </c>
      <c r="B9" t="inlineStr">
        <is>
          <t>Net Income</t>
        </is>
      </c>
      <c r="C9" s="3" t="n">
        <v>9094.280000000001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</cols>
  <sheetData>
    <row r="1">
      <c r="A1" s="2" t="inlineStr">
        <is>
          <t>Section</t>
        </is>
      </c>
      <c r="B1" s="2" t="inlineStr">
        <is>
          <t>Line Item</t>
        </is>
      </c>
      <c r="C1" s="2" t="inlineStr">
        <is>
          <t>As of 2025-03-31</t>
        </is>
      </c>
    </row>
    <row r="2">
      <c r="A2" t="inlineStr">
        <is>
          <t>Assets</t>
        </is>
      </c>
      <c r="B2" t="inlineStr">
        <is>
          <t>Checking</t>
        </is>
      </c>
      <c r="C2" s="3" t="n">
        <v>21424.64</v>
      </c>
    </row>
    <row r="3">
      <c r="A3" t="inlineStr">
        <is>
          <t>Assets</t>
        </is>
      </c>
      <c r="B3" t="inlineStr">
        <is>
          <t>Total Assets</t>
        </is>
      </c>
      <c r="C3" s="3" t="n">
        <v>21424.64</v>
      </c>
    </row>
    <row r="4">
      <c r="A4" t="inlineStr">
        <is>
          <t>Liabilities</t>
        </is>
      </c>
      <c r="B4" t="inlineStr">
        <is>
          <t>Total Liabilities</t>
        </is>
      </c>
      <c r="C4" s="3" t="n">
        <v>0</v>
      </c>
    </row>
    <row r="5">
      <c r="A5" t="inlineStr">
        <is>
          <t>Equity</t>
        </is>
      </c>
      <c r="B5" t="inlineStr">
        <is>
          <t>Retained Earnings</t>
        </is>
      </c>
      <c r="C5" s="3" t="n">
        <v>12330.36</v>
      </c>
    </row>
    <row r="6">
      <c r="A6" t="inlineStr">
        <is>
          <t>Equity</t>
        </is>
      </c>
      <c r="B6" t="inlineStr">
        <is>
          <t>Current Period Earnings</t>
        </is>
      </c>
      <c r="C6" s="3" t="n">
        <v>9094.280000000001</v>
      </c>
    </row>
    <row r="7">
      <c r="A7" t="inlineStr">
        <is>
          <t>Equity</t>
        </is>
      </c>
      <c r="B7" t="inlineStr">
        <is>
          <t>Total Equity</t>
        </is>
      </c>
      <c r="C7" s="3" t="n">
        <v>21424.64</v>
      </c>
    </row>
    <row r="8">
      <c r="A8" t="inlineStr">
        <is>
          <t>Check</t>
        </is>
      </c>
      <c r="B8" t="inlineStr">
        <is>
          <t>Balance Check</t>
        </is>
      </c>
      <c r="C8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20" customWidth="1" min="3" max="3"/>
  </cols>
  <sheetData>
    <row r="1">
      <c r="A1" s="2" t="inlineStr">
        <is>
          <t>Section</t>
        </is>
      </c>
      <c r="B1" s="2" t="inlineStr">
        <is>
          <t>Line Item</t>
        </is>
      </c>
      <c r="C1" s="2" t="inlineStr">
        <is>
          <t>Through 2025-03-31</t>
        </is>
      </c>
    </row>
    <row r="2">
      <c r="A2" t="inlineStr">
        <is>
          <t>Operating</t>
        </is>
      </c>
      <c r="B2" t="inlineStr">
        <is>
          <t>Net Cash from Operating</t>
        </is>
      </c>
      <c r="C2" s="3" t="n">
        <v>9094.280000000001</v>
      </c>
    </row>
    <row r="3">
      <c r="A3" t="inlineStr">
        <is>
          <t>Investing</t>
        </is>
      </c>
      <c r="B3" t="inlineStr">
        <is>
          <t>Net Cash from Investing</t>
        </is>
      </c>
      <c r="C3" s="3" t="n">
        <v>0</v>
      </c>
    </row>
    <row r="4">
      <c r="A4" t="inlineStr">
        <is>
          <t>Financing</t>
        </is>
      </c>
      <c r="B4" t="inlineStr">
        <is>
          <t>Net Cash from Financing</t>
        </is>
      </c>
      <c r="C4" s="3" t="n">
        <v>0</v>
      </c>
    </row>
    <row r="5">
      <c r="A5" t="inlineStr">
        <is>
          <t>Summary</t>
        </is>
      </c>
      <c r="B5" t="inlineStr">
        <is>
          <t>Cash In</t>
        </is>
      </c>
      <c r="C5" s="3" t="n">
        <v>12000</v>
      </c>
    </row>
    <row r="6">
      <c r="A6" t="inlineStr">
        <is>
          <t>Summary</t>
        </is>
      </c>
      <c r="B6" t="inlineStr">
        <is>
          <t>Cash Out</t>
        </is>
      </c>
      <c r="C6" s="3" t="n">
        <v>-2905.72</v>
      </c>
    </row>
    <row r="7">
      <c r="A7" t="inlineStr">
        <is>
          <t>Summary</t>
        </is>
      </c>
      <c r="B7" t="inlineStr">
        <is>
          <t>Net Cash Change</t>
        </is>
      </c>
      <c r="C7" s="3" t="n">
        <v>9094.280000000001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2026-03-14T19:46:17Z</dcterms:created>
  <dcterms:modified xsi:type="dcterms:W3CDTF">2026-03-14T19:46:17Z</dcterms:modified>
</cp:coreProperties>
</file>