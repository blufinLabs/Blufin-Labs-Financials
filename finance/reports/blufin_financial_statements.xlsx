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37499f6d02986b0/Documents/blufin_accounting_engine/finance/reports/"/>
    </mc:Choice>
  </mc:AlternateContent>
  <xr:revisionPtr revIDLastSave="3" documentId="11_F0EA2F0AB9D3CDABFF813AFC58D226577E428276" xr6:coauthVersionLast="47" xr6:coauthVersionMax="47" xr10:uidLastSave="{439D8BA7-431F-47E2-9141-AE7C924DBF9E}"/>
  <bookViews>
    <workbookView xWindow="2325" yWindow="2235" windowWidth="21600" windowHeight="11295" xr2:uid="{00000000-000D-0000-FFFF-FFFF00000000}"/>
  </bookViews>
  <sheets>
    <sheet name="Raw_GL" sheetId="1" r:id="rId1"/>
    <sheet name="Summary" sheetId="2" r:id="rId2"/>
    <sheet name="P&amp;L" sheetId="3" r:id="rId3"/>
    <sheet name="Balance Sheet" sheetId="4" r:id="rId4"/>
    <sheet name="Cash Flow" sheetId="5" r:id="rId5"/>
  </sheets>
  <calcPr calcId="0"/>
</workbook>
</file>

<file path=xl/sharedStrings.xml><?xml version="1.0" encoding="utf-8"?>
<sst xmlns="http://schemas.openxmlformats.org/spreadsheetml/2006/main" count="762" uniqueCount="257">
  <si>
    <t>date</t>
  </si>
  <si>
    <t>description</t>
  </si>
  <si>
    <t>amount</t>
  </si>
  <si>
    <t>category</t>
  </si>
  <si>
    <t>counterparty</t>
  </si>
  <si>
    <t>account</t>
  </si>
  <si>
    <t>memo</t>
  </si>
  <si>
    <t>type</t>
  </si>
  <si>
    <t>report_name</t>
  </si>
  <si>
    <t>2024-12-31</t>
  </si>
  <si>
    <t>Beginning balance as of 12/31/2024</t>
  </si>
  <si>
    <t>Retained Earnings</t>
  </si>
  <si>
    <t>Checking</t>
  </si>
  <si>
    <t>equity</t>
  </si>
  <si>
    <t>2025-01-14</t>
  </si>
  <si>
    <t>Texas Instruments Inc 01/11 PURCHASE Dallas TX DEBIT CARD *6768</t>
  </si>
  <si>
    <t>Electronic Components</t>
  </si>
  <si>
    <t>expense</t>
  </si>
  <si>
    <t>2025-01-21</t>
  </si>
  <si>
    <t>Precitec7303 DES:PAYMENTS ID: INDN:Blufin Labs, LLC CO ID:XXXXX73030 CCD PMT INFO:REF*Precitec Blufin\</t>
  </si>
  <si>
    <t>Consulting Revenue</t>
  </si>
  <si>
    <t>Precitec</t>
  </si>
  <si>
    <t>income</t>
  </si>
  <si>
    <t>2025-02-11</t>
  </si>
  <si>
    <t>Mike Kearny Bill Payment</t>
  </si>
  <si>
    <t>Labor (Consulting)</t>
  </si>
  <si>
    <t>2025-03-07</t>
  </si>
  <si>
    <t>PI SHOP INC. 03/06 PURCHASE 302-500-4020 DE DEBIT CARD *6768</t>
  </si>
  <si>
    <t>2025-03-18</t>
  </si>
  <si>
    <t>GITHUB, INC. 03/17 PURCHASE GITHUB.COM CA DEBIT CARD *6768</t>
  </si>
  <si>
    <t>Software</t>
  </si>
  <si>
    <t>Autodesk ADY 03/17 PURCHASE XXX-XX19562 CA DEBIT CARD *6768</t>
  </si>
  <si>
    <t>2025-03-24</t>
  </si>
  <si>
    <t>DKC*DIGI KEY CORP 03/21 PURCHASE 800-344-4539 MN DEBIT CARD *6768</t>
  </si>
  <si>
    <t>USPS.COM CLICKNSHIP 03/22 PURCHASE 800-344-7779 DC DEBIT CARD *6768</t>
  </si>
  <si>
    <t>Shipping Fees</t>
  </si>
  <si>
    <t>2025-04-09</t>
  </si>
  <si>
    <t>THORLABS 04/07 PURCHASE 973-579-7227 NJ DEBIT CARD *6768</t>
  </si>
  <si>
    <t>Optical Components</t>
  </si>
  <si>
    <t>THORLABS 04/08 PURCHASE 973-579-7227 NJ DEBIT CARD *6768</t>
  </si>
  <si>
    <t>2025-04-15</t>
  </si>
  <si>
    <t>SPARK FUN ELECTRONICS I 04/14 PURCHASE SPARKFUN.COM CO DEBIT CARD *6768</t>
  </si>
  <si>
    <t>THORLABS 04/12 PURCHASE 973-579-7227 NJ DEBIT CARD *6768</t>
  </si>
  <si>
    <t>Gerson Lehrman G DES:XXXXX64631 ID:XXXXX64631 INDN:Blufin Labs LLC CO ID:XXXXX01226 CCD</t>
  </si>
  <si>
    <t>The Scatter Works</t>
  </si>
  <si>
    <t>2025-05-08</t>
  </si>
  <si>
    <t>THORLABS 05/06 PURCHASE 973-579-7227 NJ DEBIT CARD *6768</t>
  </si>
  <si>
    <t>2025-05-28</t>
  </si>
  <si>
    <t>Online Banking transfer to CHK 3232 Confirmation# XXXXX44399</t>
  </si>
  <si>
    <t>Owner Draw</t>
  </si>
  <si>
    <t>2025-06-04</t>
  </si>
  <si>
    <t>ODOO INC. DES:ODOO INC. ID:ST-O3C4L2O0G1K2 INDN:PATRICK O HARA CO ID:XXXXX48598 WEB</t>
  </si>
  <si>
    <t>2025-07-01</t>
  </si>
  <si>
    <t>BOMMER* BOMMER, INC 06/30 PURCHASE GETBOMMER.COM CA DEBIT CARD *6768</t>
  </si>
  <si>
    <t>2025-07-07</t>
  </si>
  <si>
    <t>ODOO INC. DES:ODOO INC. ID:ST-E6N9S7P0P1O8 INDN:PATRICK O HARA CO ID:XXXXX65600 WEB</t>
  </si>
  <si>
    <t>OPENAI DES:OPENAI *CH ID:ST-W8A6E8I0O8I4 INDN:LINK CO ID:XXXXX65600 WEB</t>
  </si>
  <si>
    <t>2025-08-04</t>
  </si>
  <si>
    <t>ODOO INC. DES:ODOO INC. ID:ST-I4V9E2J1T5N0 INDN:PATRICK O HARA CO ID:XXXXX48598 WEB</t>
  </si>
  <si>
    <t>2025-08-05</t>
  </si>
  <si>
    <t>OPENAI DES:OPENAI *CH ID:ST-T4U6A4O3Q9S1 INDN:LINK CO ID:XXXXX48598 WEB</t>
  </si>
  <si>
    <t>2025-08-11</t>
  </si>
  <si>
    <t>GITHUB, INC. 08/08 PURCHASE GITHUB.COM CA DEBIT CARD *6768</t>
  </si>
  <si>
    <t>2025-08-15</t>
  </si>
  <si>
    <t>DNH*GODADDY#XXXXX63271 08/14 PURCHASE XXX-XX58855 AZ DEBIT CARD *6768</t>
  </si>
  <si>
    <t>2025-08-19</t>
  </si>
  <si>
    <t>BKOFAMERICA ATM 08/18 #XXXXX5340 WITHDRWL SANTA CRUZ MAIN SANTA CRUZ CA CKCD XXXXXXXXXX116768</t>
  </si>
  <si>
    <t>2025-08-21</t>
  </si>
  <si>
    <t>CAKE.COM 08/20 PURCHASE CAKE.COM CA DEBIT CARD *6768</t>
  </si>
  <si>
    <t>2025-08-27</t>
  </si>
  <si>
    <t>SQSP* WEBSIT#XXXXX5677 08/26 PURCHASE SQUARESPACE.C NY DEBIT CARD *6768</t>
  </si>
  <si>
    <t>2025-08-28</t>
  </si>
  <si>
    <t>SPIE ORG 08/26 PURCHASE XXXXX63290 WA DEBIT CARD *6768</t>
  </si>
  <si>
    <t>Misc Expense</t>
  </si>
  <si>
    <t>2025-09-02</t>
  </si>
  <si>
    <t>Online Banking transfer to CHK 3232 Confirmation# XXXXX78474</t>
  </si>
  <si>
    <t>2025-09-04</t>
  </si>
  <si>
    <t>ODOO INC. DES:ODOO INC. ID:ST-P4A4Z0R3F6K3 INDN:PATRICK O HARA CO ID:XXXXX48598 WEB</t>
  </si>
  <si>
    <t>OPENAI DES:OPENAI *CH ID:ST-L1S4M8Q0S2L4 INDN:LINK CO ID:XXXXX65600 WEB</t>
  </si>
  <si>
    <t>2025-09-12</t>
  </si>
  <si>
    <t>BKOFAMERICA MOBILE 09/12 XXXXX94528 DEPOSIT *MOBILE CA</t>
  </si>
  <si>
    <t>2025-09-17</t>
  </si>
  <si>
    <t>WIRE TYPE:INTL IN DATE:250917 TIME:0513 ET TRN:XXXXXXXXXX052596 SEQ:HK117095BI674750/ ORIG:UNICORN TECHNOLOGY CO., L ID:XXXXX1671838 ORIG BK:HONGKONG AND SHANGHAI BANKING ID:HSBCHKHHH KH PMT DET: $25.00 FEE DEDUCTFOR INVOICE INV/2025/</t>
  </si>
  <si>
    <t>Unicorn Technology</t>
  </si>
  <si>
    <t>2025-09-18</t>
  </si>
  <si>
    <t>INTUIT *QBooks Online 09/17 PURCHASE CL.INTUIT.COM CA DEBIT CARD *6768</t>
  </si>
  <si>
    <t>Online Banking transfer to CHK 3232 Confirmation# XXXXX55346</t>
  </si>
  <si>
    <t>Wire Transfer Fee</t>
  </si>
  <si>
    <t>Bank Fees</t>
  </si>
  <si>
    <t>2025-09-26</t>
  </si>
  <si>
    <t>CAKE.COM 09/25 PURCHASE CAKE.COM CA DEBIT CARD *6768</t>
  </si>
  <si>
    <t>2025-09-29</t>
  </si>
  <si>
    <t>SUPPLIER-DIRECT 09/26 PURCHASE 682-518-7053 MA DEBIT CARD *6768</t>
  </si>
  <si>
    <t>2025-09-30</t>
  </si>
  <si>
    <t>GIGASOFT INC 09/29 PURCHASE 817-431-8470 TX DEBIT CARD *6768</t>
  </si>
  <si>
    <t>2025-10-01</t>
  </si>
  <si>
    <t>DNH*GODADDY#XXXXX20284 09/30 PURCHASE XXX-XX58855 AZ DEBIT CARD *6768</t>
  </si>
  <si>
    <t>2025-10-06</t>
  </si>
  <si>
    <t>SANTA CRUZ ELECTRONICS 10/03 PURCHASE SANTA CRUZ CA DEBIT CARD *6768</t>
  </si>
  <si>
    <t>OPENAI DES:OPENAI *CH ID:ST-I6N7K6E9N9J0 INDN:LINK CO ID:XXXXX48598 WEB</t>
  </si>
  <si>
    <t>2025-10-09</t>
  </si>
  <si>
    <t>LAMBDA RESEARCH CORP 10/08 PURCHASE WWW.LAMBDARES MA DEBIT CARD *6768</t>
  </si>
  <si>
    <t>2025-10-20</t>
  </si>
  <si>
    <t>INTUIT *QBooks Online 10/17 PURCHASE CL.INTUIT.COM CA DEBIT CARD *6768</t>
  </si>
  <si>
    <t>2025-10-21</t>
  </si>
  <si>
    <t>PIEZODRIVE ONLINE 10/21 PURCHASE MEREWETHER DEBIT CARD *6768</t>
  </si>
  <si>
    <t>Online Banking transfer to CHK 3232 Confirmation# XXXXX24948</t>
  </si>
  <si>
    <t>2025-10-27</t>
  </si>
  <si>
    <t>XOMETRY.COM 10/26 PURCHASE XOMETRY.COM MD DEBIT CARD *6768</t>
  </si>
  <si>
    <t>Machining/Fabrication</t>
  </si>
  <si>
    <t>2025-10-29</t>
  </si>
  <si>
    <t>2025-10-31</t>
  </si>
  <si>
    <t>THORLABS 10/30 PURCHASE 973-579-7227 NJ DEBIT CARD *6768</t>
  </si>
  <si>
    <t>2025-11-03</t>
  </si>
  <si>
    <t>WWW.FLUX.AI 10/31 PURCHASE FLUX.AI CA DEBIT CARD *6768</t>
  </si>
  <si>
    <t>D28425710 11/01 PURCHASE 180-072-2008 FL DEBIT CARD *6768</t>
  </si>
  <si>
    <t>2025-11-05</t>
  </si>
  <si>
    <t>OPENAI DES:OPENAI *CH ID:ST-V5T7Z9I7T2L5 INDN:LINK CO ID:XXXXX48598 WEB</t>
  </si>
  <si>
    <t>WWW.FLUX.AI 11/03 REFUND SAN FRANCISCO CA DEBIT CARD *6768</t>
  </si>
  <si>
    <t>Misc Income</t>
  </si>
  <si>
    <t>Flux AI</t>
  </si>
  <si>
    <t>2025-11-10</t>
  </si>
  <si>
    <t>THORLABS 11/07 PURCHASE 973-579-7227 NJ DEBIT CARD *6768</t>
  </si>
  <si>
    <t>FIGMA 11/07 PURCHASE FIGMA.COM CA DEBIT CARD *6768</t>
  </si>
  <si>
    <t>2025-11-13</t>
  </si>
  <si>
    <t>MICROMECHATRONICS INC 11/12 PURCHASE 814-861-5688 PA DEBIT CARD *6768</t>
  </si>
  <si>
    <t>2025-11-18</t>
  </si>
  <si>
    <t>INTUIT *QBooks Online 11/17 PURCHASE CL.INTUIT.COM CA DEBIT CARD *6768</t>
  </si>
  <si>
    <t>2025-11-19</t>
  </si>
  <si>
    <t>THORLABS 11/18 PURCHASE 973-579-7227 NJ DEBIT CARD *6768</t>
  </si>
  <si>
    <t>2025-11-20</t>
  </si>
  <si>
    <t>MCMASTER-CARR 11/18 PURCHASE 630-834-9600 IL DEBIT CARD *6768</t>
  </si>
  <si>
    <t>Mechanical Components</t>
  </si>
  <si>
    <t>2025-11-24</t>
  </si>
  <si>
    <t>THORLABS 11/21 PURCHASE 973-579-7227 NJ DEBIT CARD *6768</t>
  </si>
  <si>
    <t>2025-11-28</t>
  </si>
  <si>
    <t>2025-12-02</t>
  </si>
  <si>
    <t>THORLABS 11/26 PURCHASE 973-579-7227 NJ DEBIT CARD *6768</t>
  </si>
  <si>
    <t>2025-12-04</t>
  </si>
  <si>
    <t>THORLABS 12/03 REFUND NEWTON NJ DEBIT CARD *6768</t>
  </si>
  <si>
    <t>THORLABS 12/03 PURCHASE XXXXX97227 NJ DEBIT CARD *6768</t>
  </si>
  <si>
    <t>2025-12-05</t>
  </si>
  <si>
    <t>OPENAI DES:OPENAI *CH ID:ST-Y5L8O7Z4L7C4 INDN:LINK CO ID:XXXXX48598 WEB</t>
  </si>
  <si>
    <t>2025-12-08</t>
  </si>
  <si>
    <t>eBay O*27-1392 12/08 PURCHASE San Jose CA DEBIT CARD *6768</t>
  </si>
  <si>
    <t>FIGMA 12/07 PURCHASE FIGMA.COM CA DEBIT CARD *6768</t>
  </si>
  <si>
    <t>2025-12-09</t>
  </si>
  <si>
    <t>Online Banking transfer to CHK 3232 Confirmation# XXXXX57095</t>
  </si>
  <si>
    <t>RONZANO SHEET ME DES:SALE ID: INDN:LLC BLUFIN LABS CO ID:XXXXX86202 CCD</t>
  </si>
  <si>
    <t>2025-12-11</t>
  </si>
  <si>
    <t>eBay O*23-1394 12/11 PURCHASE San Jose CA DEBIT CARD *6768</t>
  </si>
  <si>
    <t>2025-12-18</t>
  </si>
  <si>
    <t>MICROCHIP TECHNOLOGY 12/14 PURCHASE 480-792-7200 AZ DEBIT CARD *6768</t>
  </si>
  <si>
    <t>INTUIT *QBooks Online 12/17 PURCHASE CL.INTUIT.COM CA DEBIT CARD *6768</t>
  </si>
  <si>
    <t>2025-12-24</t>
  </si>
  <si>
    <t>XOMETRY.COM 12/23 PURCHASE XOMETRY.COM MD DEBIT CARD *6768</t>
  </si>
  <si>
    <t>2025-12-26</t>
  </si>
  <si>
    <t>2025-12-30</t>
  </si>
  <si>
    <t>DKC*DIGI KEY CORP 12/27 PURCHASE 800-344-4539 MN DEBIT CARD *6768</t>
  </si>
  <si>
    <t>XOMETRY.COM 12/29 PURCHASE XOMETRY.COM MD DEBIT CARD *6768</t>
  </si>
  <si>
    <t>2026-01-05</t>
  </si>
  <si>
    <t>OPENAI DES:OPENAI *CH ID:ST-V0T8Y3Y0D0C2 INDN:LINK CO ID:XXXXX65600 WEB</t>
  </si>
  <si>
    <t>2026-01-06</t>
  </si>
  <si>
    <t>THORLABS 01/05 PURCHASE 973-579-7227 NJ DEBIT CARD *6768</t>
  </si>
  <si>
    <t>2026-01-08</t>
  </si>
  <si>
    <t>FIGMA 01/07 PURCHASE FIGMA.COM CA DEBIT CARD *6768</t>
  </si>
  <si>
    <t>2026-01-16</t>
  </si>
  <si>
    <t>D30697903 01/15 PURCHASE 180-072-2008 FL DEBIT CARD *6768</t>
  </si>
  <si>
    <t>2026-01-20</t>
  </si>
  <si>
    <t>THORLABS 01/16 REFUND NEWTON NJ DEBIT CARD *6768</t>
  </si>
  <si>
    <t>INTUIT *QBooks Online 01/17 PURCHASE CL.INTUIT.COM CA DEBIT CARD *6768</t>
  </si>
  <si>
    <t>2026-01-23</t>
  </si>
  <si>
    <t>XOMETRY.COM 01/22 PURCHASE XOMETRY.COM MD DEBIT CARD *6768</t>
  </si>
  <si>
    <t>2026-01-30</t>
  </si>
  <si>
    <t>2026-02-02</t>
  </si>
  <si>
    <t>MCMASTER-CARR 01/31 PURCHASE 630-834-9600 IL DEBIT CARD *6768</t>
  </si>
  <si>
    <t>2026-02-03</t>
  </si>
  <si>
    <t>CENTRAL COMPUTERS, INC 02/01 PURCHASE 408-248-5888 CA DEBIT CARD *6768</t>
  </si>
  <si>
    <t>2026-02-05</t>
  </si>
  <si>
    <t>THORLABS 02/03 PURCHASE 973-579-7227 NJ DEBIT CARD *6768</t>
  </si>
  <si>
    <t>OPENAI DES:OPENAI *CH ID:ST-F8T2F5B1L9G2 INDN:LINK CO ID:XXXXX48598 WEB</t>
  </si>
  <si>
    <t>2026-02-06</t>
  </si>
  <si>
    <t>XOMETRY.COM 02/05 PURCHASE XOMETRY.COM MD DEBIT CARD *6768</t>
  </si>
  <si>
    <t>2026-02-09</t>
  </si>
  <si>
    <t>ADVANCED CIRCUITS 02/06 PURCHASE XXX-XX66610 CO DEBIT CARD *6768</t>
  </si>
  <si>
    <t>FIGMA 02/07 PURCHASE FIGMA.COM CA DEBIT CARD *6768</t>
  </si>
  <si>
    <t>MCMASTER-CARR 02/06 PURCHASE 630-834-9600 IL DEBIT CARD *6768</t>
  </si>
  <si>
    <t>2026-02-18</t>
  </si>
  <si>
    <t>INTUIT *QBooks Online 02/17 PURCHASE CL.INTUIT.COM CA DEBIT CARD *6768</t>
  </si>
  <si>
    <t>DESIGNCON 02/17 PURCHASE DESIGNCON.COM NY DEBIT CARD *6768</t>
  </si>
  <si>
    <t>Subscriptions and Memberships</t>
  </si>
  <si>
    <t>2026-02-19</t>
  </si>
  <si>
    <t>NEWEGG INC. 02/18 PURCHASE 800-390-1119 CA DEBIT CARD *6768</t>
  </si>
  <si>
    <t>Office Expenses</t>
  </si>
  <si>
    <t>2026-02-20</t>
  </si>
  <si>
    <t>DKC*DIGI KEY CORP 02/17 PURCHASE 800-344-4539 MN DEBIT CARD *6768</t>
  </si>
  <si>
    <t>2026-02-23</t>
  </si>
  <si>
    <t>Online Banking transfer to CHK 3232 Confirmation# XXXXX23186</t>
  </si>
  <si>
    <t>2026-02-25</t>
  </si>
  <si>
    <t>MCMASTER-CARR 02/24 PURCHASE 630-834-9600 IL DEBIT CARD *6768</t>
  </si>
  <si>
    <t>2026-02-26</t>
  </si>
  <si>
    <t>WESTSIDE HARDWARE 02/25 PURCHASE SANTA CRUZ CA DEBIT CARD *6768</t>
  </si>
  <si>
    <t>2026-02-27</t>
  </si>
  <si>
    <t>2026-03-02</t>
  </si>
  <si>
    <t>XOMETRY.COM 02/27 PURCHASE XOMETRY.COM MD DEBIT CARD *6768</t>
  </si>
  <si>
    <t>2026-03-05</t>
  </si>
  <si>
    <t>OPENAI DES:OPENAI *CH ID:ST-P7K6T1N9I9Y4 INDN:LINK CO ID:XXXXX48598 WEB</t>
  </si>
  <si>
    <t>2026-03-09</t>
  </si>
  <si>
    <t>FIGMA 03/07 PURCHASE FIGMA.COM CA DEBIT CARD *6768</t>
  </si>
  <si>
    <t>2026-03-10</t>
  </si>
  <si>
    <t>CLICKAWAY - SANTA CRUZ 03/09 PURCHASE SANTA CRUZ CA DEBIT CARD *6768</t>
  </si>
  <si>
    <t>Blufin Labs Financial Summary</t>
  </si>
  <si>
    <t>Period: 2025-01-01 to 2025-12-31</t>
  </si>
  <si>
    <t>Item</t>
  </si>
  <si>
    <t>Amount</t>
  </si>
  <si>
    <t>Beginning balance (2025-01-01)</t>
  </si>
  <si>
    <t>Total credits (period)</t>
  </si>
  <si>
    <t>Total debits (period)</t>
  </si>
  <si>
    <t>Ending balance (2025-12-31)</t>
  </si>
  <si>
    <t>Customer</t>
  </si>
  <si>
    <t>Income</t>
  </si>
  <si>
    <t>Month</t>
  </si>
  <si>
    <t>Expense</t>
  </si>
  <si>
    <t>Rolling Income</t>
  </si>
  <si>
    <t>Rolling Expense</t>
  </si>
  <si>
    <t>Quarter Comparison: Current (2025-10-01 to 2025-12-31) vs Previous (2025-07-01 to 2025-09-30)</t>
  </si>
  <si>
    <t>Section</t>
  </si>
  <si>
    <t>Line Item</t>
  </si>
  <si>
    <t>Current Quarter</t>
  </si>
  <si>
    <t>Previous Quarter</t>
  </si>
  <si>
    <t>Pct Change</t>
  </si>
  <si>
    <t>Total Income</t>
  </si>
  <si>
    <t>Expenses</t>
  </si>
  <si>
    <t>Total Expenses</t>
  </si>
  <si>
    <t>Summary</t>
  </si>
  <si>
    <t>Net Income</t>
  </si>
  <si>
    <t>2025-01-01 to 2025-12-31</t>
  </si>
  <si>
    <t>As of 2025-12-31</t>
  </si>
  <si>
    <t>Assets</t>
  </si>
  <si>
    <t>Total Assets</t>
  </si>
  <si>
    <t>Liabilities</t>
  </si>
  <si>
    <t>Total Liabilities</t>
  </si>
  <si>
    <t>Equity</t>
  </si>
  <si>
    <t>Current Period Earnings</t>
  </si>
  <si>
    <t>Total Equity</t>
  </si>
  <si>
    <t>Check</t>
  </si>
  <si>
    <t>Balance Check</t>
  </si>
  <si>
    <t>Through 2025-12-31</t>
  </si>
  <si>
    <t>Operating</t>
  </si>
  <si>
    <t>Net Cash from Operating</t>
  </si>
  <si>
    <t>Investing</t>
  </si>
  <si>
    <t>Net Cash from Investing</t>
  </si>
  <si>
    <t>Financing</t>
  </si>
  <si>
    <t>Net Cash from Financing</t>
  </si>
  <si>
    <t>Cash In</t>
  </si>
  <si>
    <t>Cash Out</t>
  </si>
  <si>
    <t>Net Cash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</si>
</sst>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/>
    <xf numFmtId="165" fontId="0" fillId="0" borderId="0" xfId="0" applyNumberFormat="1"/>
    <xf numFmtId="0" fontId="3" fillId="0" borderId="0" xfId="0" applyFont="1"/>
    <xf numFmtId="166" fontId="0" fillId="0" borderId="0" xfId="0" applyNumberFormat="1"/>
    <xf numFmtId="0" fontId="0" fillId="3" borderId="0" xfId="0" applyFill="1"/>
    <xf numFmtId="4" fontId="0" fillId="3" borderId="0" xfId="0" applyNumberFormat="1" applyFill="1"/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Income vs Customer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Summary!$A$11:$A$14</c:f>
              <c:strCache>
                <c:ptCount val="4"/>
                <c:pt idx="0">
                  <c:v>Unicorn Technology</c:v>
                </c:pt>
                <c:pt idx="1">
                  <c:v>Precitec</c:v>
                </c:pt>
                <c:pt idx="2">
                  <c:v>The Scatter Works</c:v>
                </c:pt>
                <c:pt idx="3">
                  <c:v>Flux AI</c:v>
                </c:pt>
              </c:strCache>
            </c:strRef>
          </c:cat>
          <c:val>
            <c:numRef>
              <c:f>Summary!$B$11:$B$14</c:f>
              <c:numCache>
                <c:formatCode>#,##0.00</c:formatCode>
                <c:ptCount val="4"/>
                <c:pt idx="0">
                  <c:v>74975</c:v>
                </c:pt>
                <c:pt idx="1">
                  <c:v>12000</c:v>
                </c:pt>
                <c:pt idx="2">
                  <c:v>2451.5300000000002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F-4A14-86CC-03A5FB15B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Rolling Income &amp; Expense Totals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Summary!$O$10</c:f>
              <c:strCache>
                <c:ptCount val="1"/>
                <c:pt idx="0">
                  <c:v>Rolling 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Summary!$L$11:$L$23</c:f>
              <c:numCache>
                <c:formatCode>yyyy\-mm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Summary!$O$11:$O$23</c:f>
              <c:numCache>
                <c:formatCode>#,##0.00</c:formatCode>
                <c:ptCount val="13"/>
                <c:pt idx="0">
                  <c:v>0</c:v>
                </c:pt>
                <c:pt idx="1">
                  <c:v>12000</c:v>
                </c:pt>
                <c:pt idx="2">
                  <c:v>12000</c:v>
                </c:pt>
                <c:pt idx="3">
                  <c:v>12000</c:v>
                </c:pt>
                <c:pt idx="4">
                  <c:v>12056.83</c:v>
                </c:pt>
                <c:pt idx="5">
                  <c:v>12056.83</c:v>
                </c:pt>
                <c:pt idx="6">
                  <c:v>12056.83</c:v>
                </c:pt>
                <c:pt idx="7">
                  <c:v>12056.83</c:v>
                </c:pt>
                <c:pt idx="8">
                  <c:v>12056.83</c:v>
                </c:pt>
                <c:pt idx="9">
                  <c:v>89426.53</c:v>
                </c:pt>
                <c:pt idx="10">
                  <c:v>89426.53</c:v>
                </c:pt>
                <c:pt idx="11">
                  <c:v>89526.53</c:v>
                </c:pt>
                <c:pt idx="12">
                  <c:v>89526.53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73-4B1C-BF98-2FB08512A9D7}"/>
            </c:ext>
          </c:extLst>
        </c:ser>
        <c:ser>
          <c:idx val="1"/>
          <c:order val="1"/>
          <c:tx>
            <c:strRef>
              <c:f>Summary!$P$10</c:f>
              <c:strCache>
                <c:ptCount val="1"/>
                <c:pt idx="0">
                  <c:v>Rolling Expense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Summary!$L$11:$L$23</c:f>
              <c:numCache>
                <c:formatCode>yyyy\-mm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Summary!$P$11:$P$23</c:f>
              <c:numCache>
                <c:formatCode>#,##0.00</c:formatCode>
                <c:ptCount val="13"/>
                <c:pt idx="0">
                  <c:v>0</c:v>
                </c:pt>
                <c:pt idx="1">
                  <c:v>76.75</c:v>
                </c:pt>
                <c:pt idx="2">
                  <c:v>2076.75</c:v>
                </c:pt>
                <c:pt idx="3">
                  <c:v>2905.72</c:v>
                </c:pt>
                <c:pt idx="4">
                  <c:v>3293.57</c:v>
                </c:pt>
                <c:pt idx="5">
                  <c:v>3560.07</c:v>
                </c:pt>
                <c:pt idx="6">
                  <c:v>3630.07</c:v>
                </c:pt>
                <c:pt idx="7">
                  <c:v>3957.97</c:v>
                </c:pt>
                <c:pt idx="8">
                  <c:v>4574.1100000000006</c:v>
                </c:pt>
                <c:pt idx="9">
                  <c:v>13585.27</c:v>
                </c:pt>
                <c:pt idx="10">
                  <c:v>30777.37</c:v>
                </c:pt>
                <c:pt idx="11">
                  <c:v>38598.400000000001</c:v>
                </c:pt>
                <c:pt idx="12">
                  <c:v>64248.66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73-4B1C-BF98-2FB08512A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yyyy\-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Amount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9</xdr:row>
      <xdr:rowOff>0</xdr:rowOff>
    </xdr:from>
    <xdr:ext cx="36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9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"/>
  <sheetViews>
    <sheetView tabSelected="1" topLeftCell="A85" workbookViewId="0">
      <selection activeCell="D93" sqref="D93"/>
    </sheetView>
  </sheetViews>
  <sheetFormatPr defaultRowHeight="15" x14ac:dyDescent="0.25"/>
  <cols>
    <col min="1" max="1" width="12" customWidth="1"/>
    <col min="2" max="2" width="63.5703125" customWidth="1"/>
    <col min="3" max="3" width="10" customWidth="1"/>
    <col min="4" max="4" width="31" customWidth="1"/>
    <col min="5" max="5" width="20" customWidth="1"/>
    <col min="6" max="6" width="10" customWidth="1"/>
    <col min="7" max="7" width="6" customWidth="1"/>
    <col min="8" max="8" width="9" customWidth="1"/>
    <col min="9" max="9" width="3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12330.36</v>
      </c>
      <c r="D2" t="s">
        <v>11</v>
      </c>
      <c r="F2" t="s">
        <v>12</v>
      </c>
      <c r="H2" t="s">
        <v>13</v>
      </c>
      <c r="I2" t="s">
        <v>11</v>
      </c>
    </row>
    <row r="3" spans="1:9" x14ac:dyDescent="0.25">
      <c r="A3" t="s">
        <v>14</v>
      </c>
      <c r="B3" t="s">
        <v>15</v>
      </c>
      <c r="C3">
        <v>-76.75</v>
      </c>
      <c r="D3" t="s">
        <v>16</v>
      </c>
      <c r="F3" t="s">
        <v>12</v>
      </c>
      <c r="H3" t="s">
        <v>17</v>
      </c>
      <c r="I3" t="s">
        <v>16</v>
      </c>
    </row>
    <row r="4" spans="1:9" x14ac:dyDescent="0.25">
      <c r="A4" t="s">
        <v>18</v>
      </c>
      <c r="B4" t="s">
        <v>19</v>
      </c>
      <c r="C4">
        <v>12000</v>
      </c>
      <c r="D4" t="s">
        <v>20</v>
      </c>
      <c r="E4" t="s">
        <v>21</v>
      </c>
      <c r="F4" t="s">
        <v>12</v>
      </c>
      <c r="H4" t="s">
        <v>22</v>
      </c>
      <c r="I4" t="s">
        <v>20</v>
      </c>
    </row>
    <row r="5" spans="1:9" x14ac:dyDescent="0.25">
      <c r="A5" t="s">
        <v>23</v>
      </c>
      <c r="B5" t="s">
        <v>24</v>
      </c>
      <c r="C5">
        <v>-2000</v>
      </c>
      <c r="D5" t="s">
        <v>25</v>
      </c>
      <c r="F5" t="s">
        <v>12</v>
      </c>
      <c r="H5" t="s">
        <v>17</v>
      </c>
      <c r="I5" t="s">
        <v>25</v>
      </c>
    </row>
    <row r="6" spans="1:9" x14ac:dyDescent="0.25">
      <c r="A6" t="s">
        <v>26</v>
      </c>
      <c r="B6" t="s">
        <v>27</v>
      </c>
      <c r="C6">
        <v>-389.49</v>
      </c>
      <c r="D6" t="s">
        <v>16</v>
      </c>
      <c r="F6" t="s">
        <v>12</v>
      </c>
      <c r="H6" t="s">
        <v>17</v>
      </c>
      <c r="I6" t="s">
        <v>16</v>
      </c>
    </row>
    <row r="7" spans="1:9" x14ac:dyDescent="0.25">
      <c r="A7" t="s">
        <v>28</v>
      </c>
      <c r="B7" t="s">
        <v>29</v>
      </c>
      <c r="C7">
        <v>-48</v>
      </c>
      <c r="D7" t="s">
        <v>30</v>
      </c>
      <c r="F7" t="s">
        <v>12</v>
      </c>
      <c r="H7" t="s">
        <v>17</v>
      </c>
      <c r="I7" t="s">
        <v>30</v>
      </c>
    </row>
    <row r="8" spans="1:9" x14ac:dyDescent="0.25">
      <c r="A8" t="s">
        <v>28</v>
      </c>
      <c r="B8" t="s">
        <v>31</v>
      </c>
      <c r="C8">
        <v>-300</v>
      </c>
      <c r="D8" t="s">
        <v>30</v>
      </c>
      <c r="F8" t="s">
        <v>12</v>
      </c>
      <c r="H8" t="s">
        <v>17</v>
      </c>
      <c r="I8" t="s">
        <v>30</v>
      </c>
    </row>
    <row r="9" spans="1:9" x14ac:dyDescent="0.25">
      <c r="A9" t="s">
        <v>32</v>
      </c>
      <c r="B9" t="s">
        <v>33</v>
      </c>
      <c r="C9">
        <v>-26.23</v>
      </c>
      <c r="D9" t="s">
        <v>16</v>
      </c>
      <c r="F9" t="s">
        <v>12</v>
      </c>
      <c r="H9" t="s">
        <v>17</v>
      </c>
      <c r="I9" t="s">
        <v>16</v>
      </c>
    </row>
    <row r="10" spans="1:9" x14ac:dyDescent="0.25">
      <c r="A10" t="s">
        <v>32</v>
      </c>
      <c r="B10" t="s">
        <v>34</v>
      </c>
      <c r="C10">
        <v>-65.25</v>
      </c>
      <c r="D10" t="s">
        <v>35</v>
      </c>
      <c r="F10" t="s">
        <v>12</v>
      </c>
      <c r="H10" t="s">
        <v>17</v>
      </c>
      <c r="I10" t="s">
        <v>35</v>
      </c>
    </row>
    <row r="11" spans="1:9" x14ac:dyDescent="0.25">
      <c r="A11" t="s">
        <v>36</v>
      </c>
      <c r="B11" t="s">
        <v>37</v>
      </c>
      <c r="C11">
        <v>-54.64</v>
      </c>
      <c r="D11" t="s">
        <v>38</v>
      </c>
      <c r="F11" t="s">
        <v>12</v>
      </c>
      <c r="H11" t="s">
        <v>17</v>
      </c>
      <c r="I11" t="s">
        <v>38</v>
      </c>
    </row>
    <row r="12" spans="1:9" x14ac:dyDescent="0.25">
      <c r="A12" t="s">
        <v>36</v>
      </c>
      <c r="B12" t="s">
        <v>39</v>
      </c>
      <c r="C12">
        <v>-112.4</v>
      </c>
      <c r="D12" t="s">
        <v>38</v>
      </c>
      <c r="F12" t="s">
        <v>12</v>
      </c>
      <c r="H12" t="s">
        <v>17</v>
      </c>
      <c r="I12" t="s">
        <v>38</v>
      </c>
    </row>
    <row r="13" spans="1:9" x14ac:dyDescent="0.25">
      <c r="A13" t="s">
        <v>40</v>
      </c>
      <c r="B13" t="s">
        <v>41</v>
      </c>
      <c r="C13">
        <v>-24.54</v>
      </c>
      <c r="D13" t="s">
        <v>16</v>
      </c>
      <c r="F13" t="s">
        <v>12</v>
      </c>
      <c r="H13" t="s">
        <v>17</v>
      </c>
      <c r="I13" t="s">
        <v>16</v>
      </c>
    </row>
    <row r="14" spans="1:9" x14ac:dyDescent="0.25">
      <c r="A14" t="s">
        <v>40</v>
      </c>
      <c r="B14" t="s">
        <v>42</v>
      </c>
      <c r="C14">
        <v>-196.27</v>
      </c>
      <c r="D14" t="s">
        <v>38</v>
      </c>
      <c r="F14" t="s">
        <v>12</v>
      </c>
      <c r="H14" t="s">
        <v>17</v>
      </c>
      <c r="I14" t="s">
        <v>38</v>
      </c>
    </row>
    <row r="15" spans="1:9" x14ac:dyDescent="0.25">
      <c r="A15" t="s">
        <v>40</v>
      </c>
      <c r="B15" t="s">
        <v>43</v>
      </c>
      <c r="C15">
        <v>56.83</v>
      </c>
      <c r="D15" t="s">
        <v>20</v>
      </c>
      <c r="E15" t="s">
        <v>44</v>
      </c>
      <c r="F15" t="s">
        <v>12</v>
      </c>
      <c r="H15" t="s">
        <v>22</v>
      </c>
      <c r="I15" t="s">
        <v>20</v>
      </c>
    </row>
    <row r="16" spans="1:9" x14ac:dyDescent="0.25">
      <c r="A16" t="s">
        <v>45</v>
      </c>
      <c r="B16" t="s">
        <v>46</v>
      </c>
      <c r="C16">
        <v>-266.5</v>
      </c>
      <c r="D16" t="s">
        <v>38</v>
      </c>
      <c r="F16" t="s">
        <v>12</v>
      </c>
      <c r="H16" t="s">
        <v>17</v>
      </c>
      <c r="I16" t="s">
        <v>38</v>
      </c>
    </row>
    <row r="17" spans="1:9" x14ac:dyDescent="0.25">
      <c r="A17" t="s">
        <v>47</v>
      </c>
      <c r="B17" t="s">
        <v>48</v>
      </c>
      <c r="C17">
        <v>-1000</v>
      </c>
      <c r="D17" t="s">
        <v>49</v>
      </c>
      <c r="F17" t="s">
        <v>12</v>
      </c>
      <c r="H17" t="s">
        <v>13</v>
      </c>
      <c r="I17" t="s">
        <v>49</v>
      </c>
    </row>
    <row r="18" spans="1:9" x14ac:dyDescent="0.25">
      <c r="A18" t="s">
        <v>50</v>
      </c>
      <c r="B18" t="s">
        <v>51</v>
      </c>
      <c r="C18">
        <v>-70</v>
      </c>
      <c r="D18" t="s">
        <v>30</v>
      </c>
      <c r="F18" t="s">
        <v>12</v>
      </c>
      <c r="H18" t="s">
        <v>17</v>
      </c>
      <c r="I18" t="s">
        <v>30</v>
      </c>
    </row>
    <row r="19" spans="1:9" x14ac:dyDescent="0.25">
      <c r="A19" t="s">
        <v>52</v>
      </c>
      <c r="B19" t="s">
        <v>53</v>
      </c>
      <c r="C19">
        <v>-199</v>
      </c>
      <c r="D19" t="s">
        <v>30</v>
      </c>
      <c r="F19" t="s">
        <v>12</v>
      </c>
      <c r="H19" t="s">
        <v>17</v>
      </c>
      <c r="I19" t="s">
        <v>30</v>
      </c>
    </row>
    <row r="20" spans="1:9" x14ac:dyDescent="0.25">
      <c r="A20" t="s">
        <v>54</v>
      </c>
      <c r="B20" t="s">
        <v>55</v>
      </c>
      <c r="C20">
        <v>-108.9</v>
      </c>
      <c r="D20" t="s">
        <v>30</v>
      </c>
      <c r="F20" t="s">
        <v>12</v>
      </c>
      <c r="H20" t="s">
        <v>17</v>
      </c>
      <c r="I20" t="s">
        <v>30</v>
      </c>
    </row>
    <row r="21" spans="1:9" x14ac:dyDescent="0.25">
      <c r="A21" t="s">
        <v>54</v>
      </c>
      <c r="B21" t="s">
        <v>56</v>
      </c>
      <c r="C21">
        <v>-20</v>
      </c>
      <c r="D21" t="s">
        <v>30</v>
      </c>
      <c r="F21" t="s">
        <v>12</v>
      </c>
      <c r="H21" t="s">
        <v>17</v>
      </c>
      <c r="I21" t="s">
        <v>30</v>
      </c>
    </row>
    <row r="22" spans="1:9" x14ac:dyDescent="0.25">
      <c r="A22" t="s">
        <v>57</v>
      </c>
      <c r="B22" t="s">
        <v>58</v>
      </c>
      <c r="C22">
        <v>-108.9</v>
      </c>
      <c r="D22" t="s">
        <v>30</v>
      </c>
      <c r="F22" t="s">
        <v>12</v>
      </c>
      <c r="H22" t="s">
        <v>17</v>
      </c>
      <c r="I22" t="s">
        <v>30</v>
      </c>
    </row>
    <row r="23" spans="1:9" x14ac:dyDescent="0.25">
      <c r="A23" t="s">
        <v>59</v>
      </c>
      <c r="B23" t="s">
        <v>60</v>
      </c>
      <c r="C23">
        <v>-20</v>
      </c>
      <c r="D23" t="s">
        <v>30</v>
      </c>
      <c r="F23" t="s">
        <v>12</v>
      </c>
      <c r="H23" t="s">
        <v>17</v>
      </c>
      <c r="I23" t="s">
        <v>30</v>
      </c>
    </row>
    <row r="24" spans="1:9" x14ac:dyDescent="0.25">
      <c r="A24" t="s">
        <v>61</v>
      </c>
      <c r="B24" t="s">
        <v>62</v>
      </c>
      <c r="C24">
        <v>-100</v>
      </c>
      <c r="D24" t="s">
        <v>30</v>
      </c>
      <c r="F24" t="s">
        <v>12</v>
      </c>
      <c r="H24" t="s">
        <v>17</v>
      </c>
      <c r="I24" t="s">
        <v>30</v>
      </c>
    </row>
    <row r="25" spans="1:9" x14ac:dyDescent="0.25">
      <c r="A25" t="s">
        <v>63</v>
      </c>
      <c r="B25" t="s">
        <v>64</v>
      </c>
      <c r="C25">
        <v>-84.36</v>
      </c>
      <c r="D25" t="s">
        <v>35</v>
      </c>
      <c r="F25" t="s">
        <v>12</v>
      </c>
      <c r="H25" t="s">
        <v>17</v>
      </c>
      <c r="I25" t="s">
        <v>35</v>
      </c>
    </row>
    <row r="26" spans="1:9" x14ac:dyDescent="0.25">
      <c r="A26" t="s">
        <v>65</v>
      </c>
      <c r="B26" t="s">
        <v>66</v>
      </c>
      <c r="C26">
        <v>-100</v>
      </c>
      <c r="D26" t="s">
        <v>49</v>
      </c>
      <c r="F26" t="s">
        <v>12</v>
      </c>
      <c r="H26" t="s">
        <v>13</v>
      </c>
      <c r="I26" t="s">
        <v>49</v>
      </c>
    </row>
    <row r="27" spans="1:9" x14ac:dyDescent="0.25">
      <c r="A27" t="s">
        <v>67</v>
      </c>
      <c r="B27" t="s">
        <v>68</v>
      </c>
      <c r="C27">
        <v>-65.88</v>
      </c>
      <c r="D27" t="s">
        <v>30</v>
      </c>
      <c r="F27" t="s">
        <v>12</v>
      </c>
      <c r="H27" t="s">
        <v>17</v>
      </c>
      <c r="I27" t="s">
        <v>30</v>
      </c>
    </row>
    <row r="28" spans="1:9" x14ac:dyDescent="0.25">
      <c r="A28" t="s">
        <v>69</v>
      </c>
      <c r="B28" t="s">
        <v>70</v>
      </c>
      <c r="C28">
        <v>-192</v>
      </c>
      <c r="D28" t="s">
        <v>30</v>
      </c>
      <c r="F28" t="s">
        <v>12</v>
      </c>
      <c r="H28" t="s">
        <v>17</v>
      </c>
      <c r="I28" t="s">
        <v>30</v>
      </c>
    </row>
    <row r="29" spans="1:9" x14ac:dyDescent="0.25">
      <c r="A29" t="s">
        <v>71</v>
      </c>
      <c r="B29" t="s">
        <v>72</v>
      </c>
      <c r="C29">
        <v>-45</v>
      </c>
      <c r="D29" t="s">
        <v>73</v>
      </c>
      <c r="F29" t="s">
        <v>12</v>
      </c>
      <c r="H29" t="s">
        <v>17</v>
      </c>
      <c r="I29" t="s">
        <v>73</v>
      </c>
    </row>
    <row r="30" spans="1:9" x14ac:dyDescent="0.25">
      <c r="A30" t="s">
        <v>74</v>
      </c>
      <c r="B30" t="s">
        <v>75</v>
      </c>
      <c r="C30">
        <v>-1000</v>
      </c>
      <c r="D30" t="s">
        <v>49</v>
      </c>
      <c r="F30" t="s">
        <v>12</v>
      </c>
      <c r="H30" t="s">
        <v>13</v>
      </c>
      <c r="I30" t="s">
        <v>49</v>
      </c>
    </row>
    <row r="31" spans="1:9" x14ac:dyDescent="0.25">
      <c r="A31" t="s">
        <v>76</v>
      </c>
      <c r="B31" t="s">
        <v>77</v>
      </c>
      <c r="C31">
        <v>-108.9</v>
      </c>
      <c r="D31" t="s">
        <v>30</v>
      </c>
      <c r="F31" t="s">
        <v>12</v>
      </c>
      <c r="H31" t="s">
        <v>17</v>
      </c>
      <c r="I31" t="s">
        <v>30</v>
      </c>
    </row>
    <row r="32" spans="1:9" x14ac:dyDescent="0.25">
      <c r="A32" t="s">
        <v>76</v>
      </c>
      <c r="B32" t="s">
        <v>78</v>
      </c>
      <c r="C32">
        <v>-20</v>
      </c>
      <c r="D32" t="s">
        <v>30</v>
      </c>
      <c r="F32" t="s">
        <v>12</v>
      </c>
      <c r="H32" t="s">
        <v>17</v>
      </c>
      <c r="I32" t="s">
        <v>30</v>
      </c>
    </row>
    <row r="33" spans="1:9" x14ac:dyDescent="0.25">
      <c r="A33" t="s">
        <v>79</v>
      </c>
      <c r="B33" t="s">
        <v>80</v>
      </c>
      <c r="C33">
        <v>2394.6999999999998</v>
      </c>
      <c r="D33" t="s">
        <v>20</v>
      </c>
      <c r="E33" t="s">
        <v>44</v>
      </c>
      <c r="F33" t="s">
        <v>12</v>
      </c>
      <c r="H33" t="s">
        <v>22</v>
      </c>
      <c r="I33" t="s">
        <v>20</v>
      </c>
    </row>
    <row r="34" spans="1:9" x14ac:dyDescent="0.25">
      <c r="A34" t="s">
        <v>81</v>
      </c>
      <c r="B34" t="s">
        <v>82</v>
      </c>
      <c r="C34">
        <v>74975</v>
      </c>
      <c r="D34" t="s">
        <v>20</v>
      </c>
      <c r="E34" t="s">
        <v>83</v>
      </c>
      <c r="F34" t="s">
        <v>12</v>
      </c>
      <c r="H34" t="s">
        <v>22</v>
      </c>
      <c r="I34" t="s">
        <v>20</v>
      </c>
    </row>
    <row r="35" spans="1:9" x14ac:dyDescent="0.25">
      <c r="A35" t="s">
        <v>84</v>
      </c>
      <c r="B35" t="s">
        <v>85</v>
      </c>
      <c r="C35">
        <v>-10</v>
      </c>
      <c r="D35" t="s">
        <v>30</v>
      </c>
      <c r="F35" t="s">
        <v>12</v>
      </c>
      <c r="H35" t="s">
        <v>17</v>
      </c>
      <c r="I35" t="s">
        <v>30</v>
      </c>
    </row>
    <row r="36" spans="1:9" x14ac:dyDescent="0.25">
      <c r="A36" t="s">
        <v>84</v>
      </c>
      <c r="B36" t="s">
        <v>86</v>
      </c>
      <c r="C36">
        <v>-5000</v>
      </c>
      <c r="D36" t="s">
        <v>25</v>
      </c>
      <c r="F36" t="s">
        <v>12</v>
      </c>
      <c r="H36" t="s">
        <v>17</v>
      </c>
      <c r="I36" t="s">
        <v>25</v>
      </c>
    </row>
    <row r="37" spans="1:9" x14ac:dyDescent="0.25">
      <c r="A37" t="s">
        <v>84</v>
      </c>
      <c r="B37" t="s">
        <v>87</v>
      </c>
      <c r="C37">
        <v>-15</v>
      </c>
      <c r="D37" t="s">
        <v>88</v>
      </c>
      <c r="F37" t="s">
        <v>12</v>
      </c>
      <c r="H37" t="s">
        <v>17</v>
      </c>
      <c r="I37" t="s">
        <v>88</v>
      </c>
    </row>
    <row r="38" spans="1:9" x14ac:dyDescent="0.25">
      <c r="A38" t="s">
        <v>89</v>
      </c>
      <c r="B38" t="s">
        <v>90</v>
      </c>
      <c r="C38">
        <v>-59.43</v>
      </c>
      <c r="D38" t="s">
        <v>30</v>
      </c>
      <c r="F38" t="s">
        <v>12</v>
      </c>
      <c r="H38" t="s">
        <v>17</v>
      </c>
      <c r="I38" t="s">
        <v>30</v>
      </c>
    </row>
    <row r="39" spans="1:9" x14ac:dyDescent="0.25">
      <c r="A39" t="s">
        <v>91</v>
      </c>
      <c r="B39" t="s">
        <v>92</v>
      </c>
      <c r="C39">
        <v>-298.83</v>
      </c>
      <c r="D39" t="s">
        <v>16</v>
      </c>
      <c r="F39" t="s">
        <v>12</v>
      </c>
      <c r="H39" t="s">
        <v>17</v>
      </c>
      <c r="I39" t="s">
        <v>16</v>
      </c>
    </row>
    <row r="40" spans="1:9" x14ac:dyDescent="0.25">
      <c r="A40" t="s">
        <v>93</v>
      </c>
      <c r="B40" t="s">
        <v>94</v>
      </c>
      <c r="C40">
        <v>-3499</v>
      </c>
      <c r="D40" t="s">
        <v>30</v>
      </c>
      <c r="F40" t="s">
        <v>12</v>
      </c>
      <c r="H40" t="s">
        <v>17</v>
      </c>
      <c r="I40" t="s">
        <v>30</v>
      </c>
    </row>
    <row r="41" spans="1:9" x14ac:dyDescent="0.25">
      <c r="A41" t="s">
        <v>95</v>
      </c>
      <c r="B41" t="s">
        <v>96</v>
      </c>
      <c r="C41">
        <v>-95.88</v>
      </c>
      <c r="D41" t="s">
        <v>30</v>
      </c>
      <c r="F41" t="s">
        <v>12</v>
      </c>
      <c r="H41" t="s">
        <v>17</v>
      </c>
      <c r="I41" t="s">
        <v>30</v>
      </c>
    </row>
    <row r="42" spans="1:9" x14ac:dyDescent="0.25">
      <c r="A42" t="s">
        <v>97</v>
      </c>
      <c r="B42" t="s">
        <v>98</v>
      </c>
      <c r="C42">
        <v>-17.47</v>
      </c>
      <c r="D42" t="s">
        <v>16</v>
      </c>
      <c r="F42" t="s">
        <v>12</v>
      </c>
      <c r="H42" t="s">
        <v>17</v>
      </c>
      <c r="I42" t="s">
        <v>16</v>
      </c>
    </row>
    <row r="43" spans="1:9" x14ac:dyDescent="0.25">
      <c r="A43" t="s">
        <v>97</v>
      </c>
      <c r="B43" t="s">
        <v>99</v>
      </c>
      <c r="C43">
        <v>-20</v>
      </c>
      <c r="D43" t="s">
        <v>30</v>
      </c>
      <c r="F43" t="s">
        <v>12</v>
      </c>
      <c r="H43" t="s">
        <v>17</v>
      </c>
      <c r="I43" t="s">
        <v>30</v>
      </c>
    </row>
    <row r="44" spans="1:9" x14ac:dyDescent="0.25">
      <c r="A44" t="s">
        <v>100</v>
      </c>
      <c r="B44" t="s">
        <v>101</v>
      </c>
      <c r="C44">
        <v>-2045</v>
      </c>
      <c r="D44" t="s">
        <v>30</v>
      </c>
      <c r="F44" t="s">
        <v>12</v>
      </c>
      <c r="H44" t="s">
        <v>17</v>
      </c>
      <c r="I44" t="s">
        <v>30</v>
      </c>
    </row>
    <row r="45" spans="1:9" x14ac:dyDescent="0.25">
      <c r="A45" t="s">
        <v>100</v>
      </c>
      <c r="B45" t="s">
        <v>101</v>
      </c>
      <c r="C45">
        <v>-600</v>
      </c>
      <c r="D45" t="s">
        <v>30</v>
      </c>
      <c r="F45" t="s">
        <v>12</v>
      </c>
      <c r="H45" t="s">
        <v>17</v>
      </c>
      <c r="I45" t="s">
        <v>30</v>
      </c>
    </row>
    <row r="46" spans="1:9" x14ac:dyDescent="0.25">
      <c r="A46" t="s">
        <v>102</v>
      </c>
      <c r="B46" t="s">
        <v>103</v>
      </c>
      <c r="C46">
        <v>-10</v>
      </c>
      <c r="D46" t="s">
        <v>30</v>
      </c>
      <c r="F46" t="s">
        <v>12</v>
      </c>
      <c r="H46" t="s">
        <v>17</v>
      </c>
      <c r="I46" t="s">
        <v>30</v>
      </c>
    </row>
    <row r="47" spans="1:9" x14ac:dyDescent="0.25">
      <c r="A47" t="s">
        <v>104</v>
      </c>
      <c r="B47" t="s">
        <v>105</v>
      </c>
      <c r="C47">
        <v>-265.23</v>
      </c>
      <c r="D47" t="s">
        <v>16</v>
      </c>
      <c r="F47" t="s">
        <v>12</v>
      </c>
      <c r="H47" t="s">
        <v>17</v>
      </c>
      <c r="I47" t="s">
        <v>16</v>
      </c>
    </row>
    <row r="48" spans="1:9" x14ac:dyDescent="0.25">
      <c r="A48" t="s">
        <v>104</v>
      </c>
      <c r="B48" t="s">
        <v>106</v>
      </c>
      <c r="C48">
        <v>-5000</v>
      </c>
      <c r="D48" t="s">
        <v>25</v>
      </c>
      <c r="F48" t="s">
        <v>12</v>
      </c>
      <c r="H48" t="s">
        <v>17</v>
      </c>
      <c r="I48" t="s">
        <v>25</v>
      </c>
    </row>
    <row r="49" spans="1:9" x14ac:dyDescent="0.25">
      <c r="A49" t="s">
        <v>107</v>
      </c>
      <c r="B49" t="s">
        <v>108</v>
      </c>
      <c r="C49">
        <v>-910.94</v>
      </c>
      <c r="D49" t="s">
        <v>109</v>
      </c>
      <c r="F49" t="s">
        <v>12</v>
      </c>
      <c r="H49" t="s">
        <v>17</v>
      </c>
      <c r="I49" t="s">
        <v>109</v>
      </c>
    </row>
    <row r="50" spans="1:9" x14ac:dyDescent="0.25">
      <c r="A50" t="s">
        <v>110</v>
      </c>
      <c r="B50" t="s">
        <v>24</v>
      </c>
      <c r="C50">
        <v>-5000</v>
      </c>
      <c r="D50" t="s">
        <v>25</v>
      </c>
      <c r="F50" t="s">
        <v>12</v>
      </c>
      <c r="H50" t="s">
        <v>17</v>
      </c>
      <c r="I50" t="s">
        <v>25</v>
      </c>
    </row>
    <row r="51" spans="1:9" x14ac:dyDescent="0.25">
      <c r="A51" t="s">
        <v>111</v>
      </c>
      <c r="B51" t="s">
        <v>112</v>
      </c>
      <c r="C51">
        <v>-3227.58</v>
      </c>
      <c r="D51" t="s">
        <v>38</v>
      </c>
      <c r="F51" t="s">
        <v>12</v>
      </c>
      <c r="H51" t="s">
        <v>17</v>
      </c>
      <c r="I51" t="s">
        <v>38</v>
      </c>
    </row>
    <row r="52" spans="1:9" x14ac:dyDescent="0.25">
      <c r="A52" t="s">
        <v>113</v>
      </c>
      <c r="B52" t="s">
        <v>114</v>
      </c>
      <c r="C52">
        <v>-100</v>
      </c>
      <c r="D52" t="s">
        <v>30</v>
      </c>
      <c r="F52" t="s">
        <v>12</v>
      </c>
      <c r="H52" t="s">
        <v>17</v>
      </c>
      <c r="I52" t="s">
        <v>30</v>
      </c>
    </row>
    <row r="53" spans="1:9" x14ac:dyDescent="0.25">
      <c r="A53" t="s">
        <v>113</v>
      </c>
      <c r="B53" t="s">
        <v>115</v>
      </c>
      <c r="C53">
        <v>-36.64</v>
      </c>
      <c r="D53" t="s">
        <v>35</v>
      </c>
      <c r="F53" t="s">
        <v>12</v>
      </c>
      <c r="H53" t="s">
        <v>17</v>
      </c>
      <c r="I53" t="s">
        <v>35</v>
      </c>
    </row>
    <row r="54" spans="1:9" x14ac:dyDescent="0.25">
      <c r="A54" t="s">
        <v>116</v>
      </c>
      <c r="B54" t="s">
        <v>117</v>
      </c>
      <c r="C54">
        <v>-20</v>
      </c>
      <c r="D54" t="s">
        <v>30</v>
      </c>
      <c r="F54" t="s">
        <v>12</v>
      </c>
      <c r="H54" t="s">
        <v>17</v>
      </c>
      <c r="I54" t="s">
        <v>30</v>
      </c>
    </row>
    <row r="55" spans="1:9" x14ac:dyDescent="0.25">
      <c r="A55" t="s">
        <v>116</v>
      </c>
      <c r="B55" t="s">
        <v>118</v>
      </c>
      <c r="C55">
        <v>100</v>
      </c>
      <c r="D55" t="s">
        <v>119</v>
      </c>
      <c r="E55" t="s">
        <v>120</v>
      </c>
      <c r="F55" t="s">
        <v>12</v>
      </c>
      <c r="H55" t="s">
        <v>22</v>
      </c>
      <c r="I55" t="s">
        <v>119</v>
      </c>
    </row>
    <row r="56" spans="1:9" x14ac:dyDescent="0.25">
      <c r="A56" t="s">
        <v>121</v>
      </c>
      <c r="B56" t="s">
        <v>122</v>
      </c>
      <c r="C56">
        <v>-418.52</v>
      </c>
      <c r="D56" t="s">
        <v>38</v>
      </c>
      <c r="F56" t="s">
        <v>12</v>
      </c>
      <c r="H56" t="s">
        <v>17</v>
      </c>
      <c r="I56" t="s">
        <v>38</v>
      </c>
    </row>
    <row r="57" spans="1:9" x14ac:dyDescent="0.25">
      <c r="A57" t="s">
        <v>121</v>
      </c>
      <c r="B57" t="s">
        <v>123</v>
      </c>
      <c r="C57">
        <v>-192</v>
      </c>
      <c r="D57" t="s">
        <v>30</v>
      </c>
      <c r="F57" t="s">
        <v>12</v>
      </c>
      <c r="H57" t="s">
        <v>17</v>
      </c>
      <c r="I57" t="s">
        <v>30</v>
      </c>
    </row>
    <row r="58" spans="1:9" x14ac:dyDescent="0.25">
      <c r="A58" t="s">
        <v>124</v>
      </c>
      <c r="B58" t="s">
        <v>125</v>
      </c>
      <c r="C58">
        <v>-843</v>
      </c>
      <c r="D58" t="s">
        <v>16</v>
      </c>
      <c r="F58" t="s">
        <v>12</v>
      </c>
      <c r="H58" t="s">
        <v>17</v>
      </c>
      <c r="I58" t="s">
        <v>16</v>
      </c>
    </row>
    <row r="59" spans="1:9" x14ac:dyDescent="0.25">
      <c r="A59" t="s">
        <v>126</v>
      </c>
      <c r="B59" t="s">
        <v>127</v>
      </c>
      <c r="C59">
        <v>-10</v>
      </c>
      <c r="D59" t="s">
        <v>30</v>
      </c>
      <c r="F59" t="s">
        <v>12</v>
      </c>
      <c r="H59" t="s">
        <v>17</v>
      </c>
      <c r="I59" t="s">
        <v>30</v>
      </c>
    </row>
    <row r="60" spans="1:9" x14ac:dyDescent="0.25">
      <c r="A60" t="s">
        <v>128</v>
      </c>
      <c r="B60" t="s">
        <v>129</v>
      </c>
      <c r="C60">
        <v>-243.61</v>
      </c>
      <c r="D60" t="s">
        <v>38</v>
      </c>
      <c r="F60" t="s">
        <v>12</v>
      </c>
      <c r="H60" t="s">
        <v>17</v>
      </c>
      <c r="I60" t="s">
        <v>38</v>
      </c>
    </row>
    <row r="61" spans="1:9" x14ac:dyDescent="0.25">
      <c r="A61" t="s">
        <v>130</v>
      </c>
      <c r="B61" t="s">
        <v>131</v>
      </c>
      <c r="C61">
        <v>-48.05</v>
      </c>
      <c r="D61" t="s">
        <v>132</v>
      </c>
      <c r="F61" t="s">
        <v>12</v>
      </c>
      <c r="H61" t="s">
        <v>17</v>
      </c>
      <c r="I61" t="s">
        <v>132</v>
      </c>
    </row>
    <row r="62" spans="1:9" x14ac:dyDescent="0.25">
      <c r="A62" t="s">
        <v>133</v>
      </c>
      <c r="B62" t="s">
        <v>134</v>
      </c>
      <c r="C62">
        <v>-809.21</v>
      </c>
      <c r="D62" t="s">
        <v>38</v>
      </c>
      <c r="F62" t="s">
        <v>12</v>
      </c>
      <c r="H62" t="s">
        <v>17</v>
      </c>
      <c r="I62" t="s">
        <v>38</v>
      </c>
    </row>
    <row r="63" spans="1:9" x14ac:dyDescent="0.25">
      <c r="A63" t="s">
        <v>135</v>
      </c>
      <c r="B63" t="s">
        <v>24</v>
      </c>
      <c r="C63">
        <v>-5100</v>
      </c>
      <c r="D63" t="s">
        <v>25</v>
      </c>
      <c r="F63" t="s">
        <v>12</v>
      </c>
      <c r="H63" t="s">
        <v>17</v>
      </c>
      <c r="I63" t="s">
        <v>25</v>
      </c>
    </row>
    <row r="64" spans="1:9" x14ac:dyDescent="0.25">
      <c r="A64" t="s">
        <v>136</v>
      </c>
      <c r="B64" t="s">
        <v>137</v>
      </c>
      <c r="C64">
        <v>-525.47</v>
      </c>
      <c r="D64" t="s">
        <v>38</v>
      </c>
      <c r="F64" t="s">
        <v>12</v>
      </c>
      <c r="H64" t="s">
        <v>17</v>
      </c>
      <c r="I64" t="s">
        <v>38</v>
      </c>
    </row>
    <row r="65" spans="1:9" x14ac:dyDescent="0.25">
      <c r="A65" t="s">
        <v>138</v>
      </c>
      <c r="B65" t="s">
        <v>139</v>
      </c>
      <c r="C65">
        <v>461.74</v>
      </c>
      <c r="D65" t="s">
        <v>38</v>
      </c>
      <c r="F65" t="s">
        <v>12</v>
      </c>
      <c r="H65" t="s">
        <v>17</v>
      </c>
      <c r="I65" t="s">
        <v>38</v>
      </c>
    </row>
    <row r="66" spans="1:9" x14ac:dyDescent="0.25">
      <c r="A66" t="s">
        <v>138</v>
      </c>
      <c r="B66" t="s">
        <v>140</v>
      </c>
      <c r="C66">
        <v>-401.12</v>
      </c>
      <c r="D66" t="s">
        <v>38</v>
      </c>
      <c r="F66" t="s">
        <v>12</v>
      </c>
      <c r="H66" t="s">
        <v>17</v>
      </c>
      <c r="I66" t="s">
        <v>38</v>
      </c>
    </row>
    <row r="67" spans="1:9" x14ac:dyDescent="0.25">
      <c r="A67" t="s">
        <v>141</v>
      </c>
      <c r="B67" t="s">
        <v>142</v>
      </c>
      <c r="C67">
        <v>-20</v>
      </c>
      <c r="D67" t="s">
        <v>30</v>
      </c>
      <c r="F67" t="s">
        <v>12</v>
      </c>
      <c r="H67" t="s">
        <v>17</v>
      </c>
      <c r="I67" t="s">
        <v>30</v>
      </c>
    </row>
    <row r="68" spans="1:9" x14ac:dyDescent="0.25">
      <c r="A68" t="s">
        <v>143</v>
      </c>
      <c r="B68" t="s">
        <v>144</v>
      </c>
      <c r="C68">
        <v>-493.88</v>
      </c>
      <c r="D68" t="s">
        <v>132</v>
      </c>
      <c r="F68" t="s">
        <v>12</v>
      </c>
      <c r="H68" t="s">
        <v>17</v>
      </c>
      <c r="I68" t="s">
        <v>132</v>
      </c>
    </row>
    <row r="69" spans="1:9" x14ac:dyDescent="0.25">
      <c r="A69" t="s">
        <v>143</v>
      </c>
      <c r="B69" t="s">
        <v>145</v>
      </c>
      <c r="C69">
        <v>-28.67</v>
      </c>
      <c r="D69" t="s">
        <v>30</v>
      </c>
      <c r="F69" t="s">
        <v>12</v>
      </c>
      <c r="H69" t="s">
        <v>17</v>
      </c>
      <c r="I69" t="s">
        <v>30</v>
      </c>
    </row>
    <row r="70" spans="1:9" x14ac:dyDescent="0.25">
      <c r="A70" t="s">
        <v>146</v>
      </c>
      <c r="B70" t="s">
        <v>147</v>
      </c>
      <c r="C70">
        <v>-5000</v>
      </c>
      <c r="D70" t="s">
        <v>25</v>
      </c>
      <c r="F70" t="s">
        <v>12</v>
      </c>
      <c r="H70" t="s">
        <v>17</v>
      </c>
      <c r="I70" t="s">
        <v>25</v>
      </c>
    </row>
    <row r="71" spans="1:9" x14ac:dyDescent="0.25">
      <c r="A71" t="s">
        <v>146</v>
      </c>
      <c r="B71" t="s">
        <v>148</v>
      </c>
      <c r="C71">
        <v>-10500</v>
      </c>
      <c r="D71" t="s">
        <v>109</v>
      </c>
      <c r="F71" t="s">
        <v>12</v>
      </c>
      <c r="H71" t="s">
        <v>17</v>
      </c>
      <c r="I71" t="s">
        <v>109</v>
      </c>
    </row>
    <row r="72" spans="1:9" x14ac:dyDescent="0.25">
      <c r="A72" t="s">
        <v>149</v>
      </c>
      <c r="B72" t="s">
        <v>150</v>
      </c>
      <c r="C72">
        <v>-326.45999999999998</v>
      </c>
      <c r="D72" t="s">
        <v>132</v>
      </c>
      <c r="F72" t="s">
        <v>12</v>
      </c>
      <c r="H72" t="s">
        <v>17</v>
      </c>
      <c r="I72" t="s">
        <v>132</v>
      </c>
    </row>
    <row r="73" spans="1:9" x14ac:dyDescent="0.25">
      <c r="A73" t="s">
        <v>151</v>
      </c>
      <c r="B73" t="s">
        <v>152</v>
      </c>
      <c r="C73">
        <v>-66.09</v>
      </c>
      <c r="D73" t="s">
        <v>16</v>
      </c>
      <c r="F73" t="s">
        <v>12</v>
      </c>
      <c r="H73" t="s">
        <v>17</v>
      </c>
      <c r="I73" t="s">
        <v>16</v>
      </c>
    </row>
    <row r="74" spans="1:9" x14ac:dyDescent="0.25">
      <c r="A74" t="s">
        <v>151</v>
      </c>
      <c r="B74" t="s">
        <v>153</v>
      </c>
      <c r="C74">
        <v>-20</v>
      </c>
      <c r="D74" t="s">
        <v>30</v>
      </c>
      <c r="F74" t="s">
        <v>12</v>
      </c>
      <c r="H74" t="s">
        <v>17</v>
      </c>
      <c r="I74" t="s">
        <v>30</v>
      </c>
    </row>
    <row r="75" spans="1:9" x14ac:dyDescent="0.25">
      <c r="A75" t="s">
        <v>154</v>
      </c>
      <c r="B75" t="s">
        <v>155</v>
      </c>
      <c r="C75">
        <v>-3211.61</v>
      </c>
      <c r="D75" t="s">
        <v>109</v>
      </c>
      <c r="F75" t="s">
        <v>12</v>
      </c>
      <c r="H75" t="s">
        <v>17</v>
      </c>
      <c r="I75" t="s">
        <v>109</v>
      </c>
    </row>
    <row r="76" spans="1:9" x14ac:dyDescent="0.25">
      <c r="A76" t="s">
        <v>156</v>
      </c>
      <c r="B76" t="s">
        <v>24</v>
      </c>
      <c r="C76">
        <v>-5000</v>
      </c>
      <c r="D76" t="s">
        <v>25</v>
      </c>
      <c r="F76" t="s">
        <v>12</v>
      </c>
      <c r="H76" t="s">
        <v>17</v>
      </c>
      <c r="I76" t="s">
        <v>25</v>
      </c>
    </row>
    <row r="77" spans="1:9" x14ac:dyDescent="0.25">
      <c r="A77" t="s">
        <v>157</v>
      </c>
      <c r="B77" t="s">
        <v>158</v>
      </c>
      <c r="C77">
        <v>-25.81</v>
      </c>
      <c r="D77" t="s">
        <v>16</v>
      </c>
      <c r="F77" t="s">
        <v>12</v>
      </c>
      <c r="H77" t="s">
        <v>17</v>
      </c>
      <c r="I77" t="s">
        <v>16</v>
      </c>
    </row>
    <row r="78" spans="1:9" x14ac:dyDescent="0.25">
      <c r="A78" t="s">
        <v>157</v>
      </c>
      <c r="B78" t="s">
        <v>159</v>
      </c>
      <c r="C78">
        <v>-492.89</v>
      </c>
      <c r="D78" t="s">
        <v>109</v>
      </c>
      <c r="F78" t="s">
        <v>12</v>
      </c>
      <c r="H78" t="s">
        <v>17</v>
      </c>
      <c r="I78" t="s">
        <v>109</v>
      </c>
    </row>
    <row r="79" spans="1:9" x14ac:dyDescent="0.25">
      <c r="A79" t="s">
        <v>160</v>
      </c>
      <c r="B79" t="s">
        <v>161</v>
      </c>
      <c r="C79">
        <v>-20</v>
      </c>
      <c r="D79" t="s">
        <v>30</v>
      </c>
      <c r="F79" t="s">
        <v>12</v>
      </c>
      <c r="H79" t="s">
        <v>17</v>
      </c>
      <c r="I79" t="s">
        <v>30</v>
      </c>
    </row>
    <row r="80" spans="1:9" x14ac:dyDescent="0.25">
      <c r="A80" t="s">
        <v>162</v>
      </c>
      <c r="B80" t="s">
        <v>163</v>
      </c>
      <c r="C80">
        <v>-590.77</v>
      </c>
      <c r="D80" t="s">
        <v>38</v>
      </c>
      <c r="F80" t="s">
        <v>12</v>
      </c>
      <c r="H80" t="s">
        <v>17</v>
      </c>
      <c r="I80" t="s">
        <v>38</v>
      </c>
    </row>
    <row r="81" spans="1:9" x14ac:dyDescent="0.25">
      <c r="A81" t="s">
        <v>164</v>
      </c>
      <c r="B81" t="s">
        <v>165</v>
      </c>
      <c r="C81">
        <v>-20</v>
      </c>
      <c r="D81" t="s">
        <v>30</v>
      </c>
      <c r="F81" t="s">
        <v>12</v>
      </c>
      <c r="H81" t="s">
        <v>17</v>
      </c>
      <c r="I81" t="s">
        <v>30</v>
      </c>
    </row>
    <row r="82" spans="1:9" x14ac:dyDescent="0.25">
      <c r="A82" t="s">
        <v>166</v>
      </c>
      <c r="B82" t="s">
        <v>167</v>
      </c>
      <c r="C82">
        <v>-26.34</v>
      </c>
      <c r="D82" t="s">
        <v>35</v>
      </c>
      <c r="F82" t="s">
        <v>12</v>
      </c>
      <c r="H82" t="s">
        <v>17</v>
      </c>
      <c r="I82" t="s">
        <v>35</v>
      </c>
    </row>
    <row r="83" spans="1:9" x14ac:dyDescent="0.25">
      <c r="A83" t="s">
        <v>168</v>
      </c>
      <c r="B83" t="s">
        <v>169</v>
      </c>
      <c r="C83">
        <v>188.36</v>
      </c>
      <c r="D83" t="s">
        <v>38</v>
      </c>
      <c r="F83" t="s">
        <v>12</v>
      </c>
      <c r="H83" t="s">
        <v>17</v>
      </c>
      <c r="I83" t="s">
        <v>38</v>
      </c>
    </row>
    <row r="84" spans="1:9" x14ac:dyDescent="0.25">
      <c r="A84" t="s">
        <v>168</v>
      </c>
      <c r="B84" t="s">
        <v>170</v>
      </c>
      <c r="C84">
        <v>-20</v>
      </c>
      <c r="D84" t="s">
        <v>30</v>
      </c>
      <c r="F84" t="s">
        <v>12</v>
      </c>
      <c r="H84" t="s">
        <v>17</v>
      </c>
      <c r="I84" t="s">
        <v>30</v>
      </c>
    </row>
    <row r="85" spans="1:9" x14ac:dyDescent="0.25">
      <c r="A85" t="s">
        <v>171</v>
      </c>
      <c r="B85" t="s">
        <v>172</v>
      </c>
      <c r="C85">
        <v>-432.45</v>
      </c>
      <c r="D85" t="s">
        <v>109</v>
      </c>
      <c r="F85" t="s">
        <v>12</v>
      </c>
      <c r="H85" t="s">
        <v>17</v>
      </c>
      <c r="I85" t="s">
        <v>109</v>
      </c>
    </row>
    <row r="86" spans="1:9" x14ac:dyDescent="0.25">
      <c r="A86" t="s">
        <v>173</v>
      </c>
      <c r="B86" t="s">
        <v>24</v>
      </c>
      <c r="C86">
        <v>-5000</v>
      </c>
      <c r="D86" t="s">
        <v>25</v>
      </c>
      <c r="F86" t="s">
        <v>12</v>
      </c>
      <c r="H86" t="s">
        <v>17</v>
      </c>
      <c r="I86" t="s">
        <v>25</v>
      </c>
    </row>
    <row r="87" spans="1:9" x14ac:dyDescent="0.25">
      <c r="A87" t="s">
        <v>174</v>
      </c>
      <c r="B87" t="s">
        <v>175</v>
      </c>
      <c r="C87">
        <v>-298.10000000000002</v>
      </c>
      <c r="D87" t="s">
        <v>132</v>
      </c>
      <c r="F87" t="s">
        <v>12</v>
      </c>
      <c r="H87" t="s">
        <v>17</v>
      </c>
      <c r="I87" t="s">
        <v>132</v>
      </c>
    </row>
    <row r="88" spans="1:9" x14ac:dyDescent="0.25">
      <c r="A88" t="s">
        <v>176</v>
      </c>
      <c r="B88" t="s">
        <v>177</v>
      </c>
      <c r="C88">
        <v>-21.77</v>
      </c>
      <c r="D88" t="s">
        <v>16</v>
      </c>
      <c r="F88" t="s">
        <v>12</v>
      </c>
      <c r="H88" t="s">
        <v>17</v>
      </c>
      <c r="I88" t="s">
        <v>16</v>
      </c>
    </row>
    <row r="89" spans="1:9" x14ac:dyDescent="0.25">
      <c r="A89" t="s">
        <v>178</v>
      </c>
      <c r="B89" t="s">
        <v>179</v>
      </c>
      <c r="C89">
        <v>-184.21</v>
      </c>
      <c r="D89" t="s">
        <v>38</v>
      </c>
      <c r="F89" t="s">
        <v>12</v>
      </c>
      <c r="H89" t="s">
        <v>17</v>
      </c>
      <c r="I89" t="s">
        <v>38</v>
      </c>
    </row>
    <row r="90" spans="1:9" x14ac:dyDescent="0.25">
      <c r="A90" t="s">
        <v>178</v>
      </c>
      <c r="B90" t="s">
        <v>180</v>
      </c>
      <c r="C90">
        <v>-20</v>
      </c>
      <c r="D90" t="s">
        <v>30</v>
      </c>
      <c r="F90" t="s">
        <v>12</v>
      </c>
      <c r="H90" t="s">
        <v>17</v>
      </c>
      <c r="I90" t="s">
        <v>30</v>
      </c>
    </row>
    <row r="91" spans="1:9" x14ac:dyDescent="0.25">
      <c r="A91" t="s">
        <v>181</v>
      </c>
      <c r="B91" t="s">
        <v>182</v>
      </c>
      <c r="C91">
        <v>-66</v>
      </c>
      <c r="D91" t="s">
        <v>109</v>
      </c>
      <c r="F91" t="s">
        <v>12</v>
      </c>
      <c r="H91" t="s">
        <v>17</v>
      </c>
      <c r="I91" t="s">
        <v>109</v>
      </c>
    </row>
    <row r="92" spans="1:9" x14ac:dyDescent="0.25">
      <c r="A92" t="s">
        <v>183</v>
      </c>
      <c r="B92" t="s">
        <v>184</v>
      </c>
      <c r="C92">
        <v>-1556.5</v>
      </c>
      <c r="D92" t="s">
        <v>16</v>
      </c>
      <c r="F92" t="s">
        <v>12</v>
      </c>
      <c r="H92" t="s">
        <v>17</v>
      </c>
      <c r="I92" t="s">
        <v>109</v>
      </c>
    </row>
    <row r="93" spans="1:9" x14ac:dyDescent="0.25">
      <c r="A93" t="s">
        <v>183</v>
      </c>
      <c r="B93" t="s">
        <v>185</v>
      </c>
      <c r="C93">
        <v>-20</v>
      </c>
      <c r="D93" t="s">
        <v>30</v>
      </c>
      <c r="F93" t="s">
        <v>12</v>
      </c>
      <c r="H93" t="s">
        <v>17</v>
      </c>
      <c r="I93" t="s">
        <v>30</v>
      </c>
    </row>
    <row r="94" spans="1:9" x14ac:dyDescent="0.25">
      <c r="A94" t="s">
        <v>183</v>
      </c>
      <c r="B94" t="s">
        <v>186</v>
      </c>
      <c r="C94">
        <v>-161.72</v>
      </c>
      <c r="D94" t="s">
        <v>132</v>
      </c>
      <c r="F94" t="s">
        <v>12</v>
      </c>
      <c r="H94" t="s">
        <v>17</v>
      </c>
      <c r="I94" t="s">
        <v>132</v>
      </c>
    </row>
    <row r="95" spans="1:9" x14ac:dyDescent="0.25">
      <c r="A95" t="s">
        <v>187</v>
      </c>
      <c r="B95" t="s">
        <v>188</v>
      </c>
      <c r="C95">
        <v>-20</v>
      </c>
      <c r="D95" t="s">
        <v>30</v>
      </c>
      <c r="F95" t="s">
        <v>12</v>
      </c>
      <c r="H95" t="s">
        <v>17</v>
      </c>
      <c r="I95" t="s">
        <v>30</v>
      </c>
    </row>
    <row r="96" spans="1:9" x14ac:dyDescent="0.25">
      <c r="A96" t="s">
        <v>187</v>
      </c>
      <c r="B96" t="s">
        <v>189</v>
      </c>
      <c r="C96">
        <v>-39</v>
      </c>
      <c r="D96" t="s">
        <v>190</v>
      </c>
      <c r="F96" t="s">
        <v>12</v>
      </c>
      <c r="H96" t="s">
        <v>17</v>
      </c>
      <c r="I96" t="s">
        <v>190</v>
      </c>
    </row>
    <row r="97" spans="1:9" x14ac:dyDescent="0.25">
      <c r="A97" t="s">
        <v>191</v>
      </c>
      <c r="B97" t="s">
        <v>192</v>
      </c>
      <c r="C97">
        <v>-317.98</v>
      </c>
      <c r="D97" t="s">
        <v>193</v>
      </c>
      <c r="F97" t="s">
        <v>12</v>
      </c>
      <c r="H97" t="s">
        <v>17</v>
      </c>
      <c r="I97" t="s">
        <v>193</v>
      </c>
    </row>
    <row r="98" spans="1:9" x14ac:dyDescent="0.25">
      <c r="A98" t="s">
        <v>194</v>
      </c>
      <c r="B98" t="s">
        <v>195</v>
      </c>
      <c r="C98">
        <v>-24.07</v>
      </c>
      <c r="D98" t="s">
        <v>16</v>
      </c>
      <c r="F98" t="s">
        <v>12</v>
      </c>
      <c r="H98" t="s">
        <v>17</v>
      </c>
      <c r="I98" t="s">
        <v>16</v>
      </c>
    </row>
    <row r="99" spans="1:9" x14ac:dyDescent="0.25">
      <c r="A99" t="s">
        <v>196</v>
      </c>
      <c r="B99" t="s">
        <v>197</v>
      </c>
      <c r="C99">
        <v>-5000</v>
      </c>
      <c r="D99" t="s">
        <v>25</v>
      </c>
      <c r="F99" t="s">
        <v>12</v>
      </c>
      <c r="H99" t="s">
        <v>17</v>
      </c>
      <c r="I99" t="s">
        <v>25</v>
      </c>
    </row>
    <row r="100" spans="1:9" x14ac:dyDescent="0.25">
      <c r="A100" t="s">
        <v>198</v>
      </c>
      <c r="B100" t="s">
        <v>199</v>
      </c>
      <c r="C100">
        <v>-25.11</v>
      </c>
      <c r="D100" t="s">
        <v>132</v>
      </c>
      <c r="F100" t="s">
        <v>12</v>
      </c>
      <c r="H100" t="s">
        <v>17</v>
      </c>
      <c r="I100" t="s">
        <v>132</v>
      </c>
    </row>
    <row r="101" spans="1:9" x14ac:dyDescent="0.25">
      <c r="A101" t="s">
        <v>200</v>
      </c>
      <c r="B101" t="s">
        <v>201</v>
      </c>
      <c r="C101">
        <v>-15.94</v>
      </c>
      <c r="D101" t="s">
        <v>132</v>
      </c>
      <c r="F101" t="s">
        <v>12</v>
      </c>
      <c r="H101" t="s">
        <v>17</v>
      </c>
      <c r="I101" t="s">
        <v>132</v>
      </c>
    </row>
    <row r="102" spans="1:9" x14ac:dyDescent="0.25">
      <c r="A102" t="s">
        <v>202</v>
      </c>
      <c r="B102" t="s">
        <v>24</v>
      </c>
      <c r="C102">
        <v>-5000</v>
      </c>
      <c r="D102" t="s">
        <v>25</v>
      </c>
      <c r="F102" t="s">
        <v>12</v>
      </c>
      <c r="H102" t="s">
        <v>17</v>
      </c>
      <c r="I102" t="s">
        <v>25</v>
      </c>
    </row>
    <row r="103" spans="1:9" x14ac:dyDescent="0.25">
      <c r="A103" t="s">
        <v>203</v>
      </c>
      <c r="B103" t="s">
        <v>204</v>
      </c>
      <c r="C103">
        <v>-750.19</v>
      </c>
      <c r="D103" t="s">
        <v>109</v>
      </c>
      <c r="F103" t="s">
        <v>12</v>
      </c>
      <c r="H103" t="s">
        <v>17</v>
      </c>
      <c r="I103" t="s">
        <v>109</v>
      </c>
    </row>
    <row r="104" spans="1:9" x14ac:dyDescent="0.25">
      <c r="A104" t="s">
        <v>205</v>
      </c>
      <c r="B104" t="s">
        <v>206</v>
      </c>
      <c r="C104">
        <v>-20</v>
      </c>
      <c r="D104" t="s">
        <v>30</v>
      </c>
      <c r="F104" t="s">
        <v>12</v>
      </c>
      <c r="H104" t="s">
        <v>17</v>
      </c>
      <c r="I104" t="s">
        <v>30</v>
      </c>
    </row>
    <row r="105" spans="1:9" x14ac:dyDescent="0.25">
      <c r="A105" t="s">
        <v>207</v>
      </c>
      <c r="B105" t="s">
        <v>208</v>
      </c>
      <c r="C105">
        <v>-20</v>
      </c>
      <c r="D105" t="s">
        <v>30</v>
      </c>
      <c r="F105" t="s">
        <v>12</v>
      </c>
      <c r="H105" t="s">
        <v>17</v>
      </c>
      <c r="I105" t="s">
        <v>30</v>
      </c>
    </row>
    <row r="106" spans="1:9" x14ac:dyDescent="0.25">
      <c r="A106" t="s">
        <v>209</v>
      </c>
      <c r="B106" t="s">
        <v>210</v>
      </c>
      <c r="C106">
        <v>-199.99</v>
      </c>
      <c r="D106" t="s">
        <v>193</v>
      </c>
      <c r="F106" t="s">
        <v>12</v>
      </c>
      <c r="H106" t="s">
        <v>17</v>
      </c>
      <c r="I106" t="s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"/>
  <sheetViews>
    <sheetView workbookViewId="0"/>
  </sheetViews>
  <sheetFormatPr defaultRowHeight="15" x14ac:dyDescent="0.25"/>
  <cols>
    <col min="1" max="1" width="32" customWidth="1"/>
    <col min="2" max="2" width="23" customWidth="1"/>
    <col min="3" max="3" width="20" customWidth="1"/>
    <col min="4" max="4" width="18" customWidth="1"/>
    <col min="5" max="5" width="22" customWidth="1"/>
    <col min="6" max="11" width="2" customWidth="1"/>
    <col min="12" max="12" width="21" customWidth="1"/>
    <col min="13" max="13" width="9" customWidth="1"/>
    <col min="14" max="14" width="10" customWidth="1"/>
    <col min="15" max="15" width="16" customWidth="1"/>
    <col min="16" max="16" width="20" customWidth="1"/>
  </cols>
  <sheetData>
    <row r="1" spans="1:16" ht="18.75" x14ac:dyDescent="0.3">
      <c r="A1" s="1" t="s">
        <v>211</v>
      </c>
    </row>
    <row r="2" spans="1:16" x14ac:dyDescent="0.25">
      <c r="A2" t="s">
        <v>212</v>
      </c>
    </row>
    <row r="4" spans="1:16" x14ac:dyDescent="0.25">
      <c r="A4" s="2" t="s">
        <v>213</v>
      </c>
      <c r="B4" s="2" t="s">
        <v>214</v>
      </c>
    </row>
    <row r="5" spans="1:16" x14ac:dyDescent="0.25">
      <c r="A5" t="s">
        <v>215</v>
      </c>
      <c r="B5" s="3">
        <v>12330.36</v>
      </c>
    </row>
    <row r="6" spans="1:16" x14ac:dyDescent="0.25">
      <c r="A6" t="s">
        <v>216</v>
      </c>
      <c r="B6" s="3">
        <v>89988.27</v>
      </c>
    </row>
    <row r="7" spans="1:16" x14ac:dyDescent="0.25">
      <c r="A7" t="s">
        <v>217</v>
      </c>
      <c r="B7" s="3">
        <v>-66810.399999999994</v>
      </c>
    </row>
    <row r="8" spans="1:16" x14ac:dyDescent="0.25">
      <c r="A8" t="s">
        <v>218</v>
      </c>
      <c r="B8" s="3">
        <v>35508.23000000001</v>
      </c>
    </row>
    <row r="10" spans="1:16" x14ac:dyDescent="0.25">
      <c r="A10" s="2" t="s">
        <v>219</v>
      </c>
      <c r="B10" s="2" t="s">
        <v>220</v>
      </c>
      <c r="C10" s="2"/>
      <c r="D10" s="2"/>
      <c r="E10" s="2"/>
      <c r="F10" s="2"/>
      <c r="G10" s="2"/>
      <c r="H10" s="2"/>
      <c r="I10" s="2"/>
      <c r="J10" s="2"/>
      <c r="K10" s="2"/>
      <c r="L10" s="2" t="s">
        <v>221</v>
      </c>
      <c r="M10" s="2" t="s">
        <v>220</v>
      </c>
      <c r="N10" s="2" t="s">
        <v>222</v>
      </c>
      <c r="O10" s="2" t="s">
        <v>223</v>
      </c>
      <c r="P10" s="2" t="s">
        <v>224</v>
      </c>
    </row>
    <row r="11" spans="1:16" x14ac:dyDescent="0.25">
      <c r="A11" t="s">
        <v>83</v>
      </c>
      <c r="B11" s="3">
        <v>74975</v>
      </c>
      <c r="L11" s="4">
        <v>45627</v>
      </c>
      <c r="M11" s="3">
        <v>0</v>
      </c>
      <c r="N11" s="3">
        <v>0</v>
      </c>
      <c r="O11" s="3">
        <v>0</v>
      </c>
      <c r="P11" s="3">
        <v>0</v>
      </c>
    </row>
    <row r="12" spans="1:16" x14ac:dyDescent="0.25">
      <c r="A12" t="s">
        <v>21</v>
      </c>
      <c r="B12" s="3">
        <v>12000</v>
      </c>
      <c r="L12" s="4">
        <v>45658</v>
      </c>
      <c r="M12" s="3">
        <v>12000</v>
      </c>
      <c r="N12" s="3">
        <v>76.75</v>
      </c>
      <c r="O12" s="3">
        <v>12000</v>
      </c>
      <c r="P12" s="3">
        <v>76.75</v>
      </c>
    </row>
    <row r="13" spans="1:16" x14ac:dyDescent="0.25">
      <c r="A13" t="s">
        <v>44</v>
      </c>
      <c r="B13" s="3">
        <v>2451.5300000000002</v>
      </c>
      <c r="L13" s="4">
        <v>45689</v>
      </c>
      <c r="M13" s="3">
        <v>0</v>
      </c>
      <c r="N13" s="3">
        <v>2000</v>
      </c>
      <c r="O13" s="3">
        <v>12000</v>
      </c>
      <c r="P13" s="3">
        <v>2076.75</v>
      </c>
    </row>
    <row r="14" spans="1:16" x14ac:dyDescent="0.25">
      <c r="A14" t="s">
        <v>120</v>
      </c>
      <c r="B14" s="3">
        <v>100</v>
      </c>
      <c r="L14" s="4">
        <v>45717</v>
      </c>
      <c r="M14" s="3">
        <v>0</v>
      </c>
      <c r="N14" s="3">
        <v>828.97</v>
      </c>
      <c r="O14" s="3">
        <v>12000</v>
      </c>
      <c r="P14" s="3">
        <v>2905.72</v>
      </c>
    </row>
    <row r="15" spans="1:16" x14ac:dyDescent="0.25">
      <c r="L15" s="4">
        <v>45748</v>
      </c>
      <c r="M15" s="3">
        <v>56.83</v>
      </c>
      <c r="N15" s="3">
        <v>387.85</v>
      </c>
      <c r="O15" s="3">
        <v>12056.83</v>
      </c>
      <c r="P15" s="3">
        <v>3293.57</v>
      </c>
    </row>
    <row r="16" spans="1:16" x14ac:dyDescent="0.25">
      <c r="L16" s="4">
        <v>45778</v>
      </c>
      <c r="M16" s="3">
        <v>0</v>
      </c>
      <c r="N16" s="3">
        <v>266.5</v>
      </c>
      <c r="O16" s="3">
        <v>12056.83</v>
      </c>
      <c r="P16" s="3">
        <v>3560.07</v>
      </c>
    </row>
    <row r="17" spans="1:16" x14ac:dyDescent="0.25">
      <c r="L17" s="4">
        <v>45809</v>
      </c>
      <c r="M17" s="3">
        <v>0</v>
      </c>
      <c r="N17" s="3">
        <v>70</v>
      </c>
      <c r="O17" s="3">
        <v>12056.83</v>
      </c>
      <c r="P17" s="3">
        <v>3630.07</v>
      </c>
    </row>
    <row r="18" spans="1:16" x14ac:dyDescent="0.25">
      <c r="L18" s="4">
        <v>45839</v>
      </c>
      <c r="M18" s="3">
        <v>0</v>
      </c>
      <c r="N18" s="3">
        <v>327.9</v>
      </c>
      <c r="O18" s="3">
        <v>12056.83</v>
      </c>
      <c r="P18" s="3">
        <v>3957.97</v>
      </c>
    </row>
    <row r="19" spans="1:16" x14ac:dyDescent="0.25">
      <c r="L19" s="4">
        <v>45870</v>
      </c>
      <c r="M19" s="3">
        <v>0</v>
      </c>
      <c r="N19" s="3">
        <v>616.14</v>
      </c>
      <c r="O19" s="3">
        <v>12056.83</v>
      </c>
      <c r="P19" s="3">
        <v>4574.1100000000006</v>
      </c>
    </row>
    <row r="20" spans="1:16" x14ac:dyDescent="0.25">
      <c r="L20" s="4">
        <v>45901</v>
      </c>
      <c r="M20" s="3">
        <v>77369.7</v>
      </c>
      <c r="N20" s="3">
        <v>9011.16</v>
      </c>
      <c r="O20" s="3">
        <v>89426.53</v>
      </c>
      <c r="P20" s="3">
        <v>13585.27</v>
      </c>
    </row>
    <row r="21" spans="1:16" x14ac:dyDescent="0.25">
      <c r="L21" s="4">
        <v>45931</v>
      </c>
      <c r="M21" s="3">
        <v>0</v>
      </c>
      <c r="N21" s="3">
        <v>17192.099999999999</v>
      </c>
      <c r="O21" s="3">
        <v>89426.53</v>
      </c>
      <c r="P21" s="3">
        <v>30777.37</v>
      </c>
    </row>
    <row r="22" spans="1:16" x14ac:dyDescent="0.25">
      <c r="L22" s="4">
        <v>45962</v>
      </c>
      <c r="M22" s="3">
        <v>100</v>
      </c>
      <c r="N22" s="3">
        <v>7821.03</v>
      </c>
      <c r="O22" s="3">
        <v>89526.53</v>
      </c>
      <c r="P22" s="3">
        <v>38598.400000000001</v>
      </c>
    </row>
    <row r="23" spans="1:16" x14ac:dyDescent="0.25">
      <c r="L23" s="4">
        <v>45992</v>
      </c>
      <c r="M23" s="3">
        <v>0</v>
      </c>
      <c r="N23" s="3">
        <v>25650.26</v>
      </c>
      <c r="O23" s="3">
        <v>89526.53</v>
      </c>
      <c r="P23" s="3">
        <v>64248.66</v>
      </c>
    </row>
    <row r="28" spans="1:16" x14ac:dyDescent="0.25">
      <c r="A28" s="5" t="s">
        <v>225</v>
      </c>
    </row>
    <row r="29" spans="1:16" x14ac:dyDescent="0.25">
      <c r="A29" s="2" t="s">
        <v>226</v>
      </c>
      <c r="B29" s="2" t="s">
        <v>227</v>
      </c>
      <c r="C29" s="2" t="s">
        <v>228</v>
      </c>
      <c r="D29" s="2" t="s">
        <v>229</v>
      </c>
      <c r="E29" s="2" t="s">
        <v>230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 t="s">
        <v>222</v>
      </c>
      <c r="B30" t="s">
        <v>88</v>
      </c>
      <c r="C30" s="3">
        <v>0</v>
      </c>
      <c r="D30" s="3">
        <v>15</v>
      </c>
      <c r="E30" s="6">
        <v>-1</v>
      </c>
    </row>
    <row r="31" spans="1:16" x14ac:dyDescent="0.25">
      <c r="A31" s="7" t="s">
        <v>220</v>
      </c>
      <c r="B31" s="7" t="s">
        <v>20</v>
      </c>
      <c r="C31" s="8">
        <v>0</v>
      </c>
      <c r="D31" s="8">
        <v>77369.7</v>
      </c>
      <c r="E31" s="9">
        <v>-1</v>
      </c>
    </row>
    <row r="32" spans="1:16" x14ac:dyDescent="0.25">
      <c r="A32" s="7" t="s">
        <v>222</v>
      </c>
      <c r="B32" s="7" t="s">
        <v>16</v>
      </c>
      <c r="C32" s="8">
        <v>1217.5999999999999</v>
      </c>
      <c r="D32" s="8">
        <v>298.83</v>
      </c>
      <c r="E32" s="9">
        <v>3.0745574406853402</v>
      </c>
    </row>
    <row r="33" spans="1:5" x14ac:dyDescent="0.25">
      <c r="A33" s="7" t="s">
        <v>222</v>
      </c>
      <c r="B33" s="7" t="s">
        <v>25</v>
      </c>
      <c r="C33" s="8">
        <v>25100</v>
      </c>
      <c r="D33" s="8">
        <v>5000</v>
      </c>
      <c r="E33" s="9">
        <v>4.0199999999999996</v>
      </c>
    </row>
    <row r="34" spans="1:5" x14ac:dyDescent="0.25">
      <c r="A34" t="s">
        <v>222</v>
      </c>
      <c r="B34" t="s">
        <v>109</v>
      </c>
      <c r="C34" s="3">
        <v>15115.44</v>
      </c>
      <c r="D34" s="3">
        <v>0</v>
      </c>
      <c r="E34" s="6"/>
    </row>
    <row r="35" spans="1:5" x14ac:dyDescent="0.25">
      <c r="A35" t="s">
        <v>222</v>
      </c>
      <c r="B35" t="s">
        <v>132</v>
      </c>
      <c r="C35" s="3">
        <v>868.39</v>
      </c>
      <c r="D35" s="3">
        <v>0</v>
      </c>
      <c r="E35" s="6"/>
    </row>
    <row r="36" spans="1:5" x14ac:dyDescent="0.25">
      <c r="A36" t="s">
        <v>222</v>
      </c>
      <c r="B36" t="s">
        <v>73</v>
      </c>
      <c r="C36" s="3">
        <v>0</v>
      </c>
      <c r="D36" s="3">
        <v>45</v>
      </c>
      <c r="E36" s="6">
        <v>-1</v>
      </c>
    </row>
    <row r="37" spans="1:5" x14ac:dyDescent="0.25">
      <c r="A37" t="s">
        <v>220</v>
      </c>
      <c r="B37" t="s">
        <v>119</v>
      </c>
      <c r="C37" s="3">
        <v>100</v>
      </c>
      <c r="D37" s="3">
        <v>0</v>
      </c>
      <c r="E37" s="6"/>
    </row>
    <row r="38" spans="1:5" x14ac:dyDescent="0.25">
      <c r="A38" t="s">
        <v>222</v>
      </c>
      <c r="B38" t="s">
        <v>38</v>
      </c>
      <c r="C38" s="3">
        <v>5163.7700000000004</v>
      </c>
      <c r="D38" s="3">
        <v>0</v>
      </c>
      <c r="E38" s="6"/>
    </row>
    <row r="39" spans="1:5" x14ac:dyDescent="0.25">
      <c r="A39" t="s">
        <v>222</v>
      </c>
      <c r="B39" t="s">
        <v>35</v>
      </c>
      <c r="C39" s="3">
        <v>36.64</v>
      </c>
      <c r="D39" s="3">
        <v>84.36</v>
      </c>
      <c r="E39" s="6">
        <v>-0.56567093409198677</v>
      </c>
    </row>
    <row r="40" spans="1:5" x14ac:dyDescent="0.25">
      <c r="A40" t="s">
        <v>222</v>
      </c>
      <c r="B40" t="s">
        <v>30</v>
      </c>
      <c r="C40" s="3">
        <v>3161.55</v>
      </c>
      <c r="D40" s="3">
        <v>4512.01</v>
      </c>
      <c r="E40" s="6">
        <v>-0.29930341466441779</v>
      </c>
    </row>
    <row r="41" spans="1:5" x14ac:dyDescent="0.25">
      <c r="A41" s="7" t="s">
        <v>220</v>
      </c>
      <c r="B41" s="7" t="s">
        <v>231</v>
      </c>
      <c r="C41" s="8">
        <v>100</v>
      </c>
      <c r="D41" s="8">
        <v>77369.7</v>
      </c>
      <c r="E41" s="9">
        <v>-0.99870750435894151</v>
      </c>
    </row>
    <row r="42" spans="1:5" x14ac:dyDescent="0.25">
      <c r="A42" t="s">
        <v>232</v>
      </c>
      <c r="B42" t="s">
        <v>233</v>
      </c>
      <c r="C42" s="3">
        <v>50663.39</v>
      </c>
      <c r="D42" s="3">
        <v>9955.2000000000007</v>
      </c>
      <c r="E42" s="6">
        <v>4.0891383397621341</v>
      </c>
    </row>
    <row r="43" spans="1:5" x14ac:dyDescent="0.25">
      <c r="A43" t="s">
        <v>234</v>
      </c>
      <c r="B43" t="s">
        <v>235</v>
      </c>
      <c r="C43" s="3">
        <v>-50563.39</v>
      </c>
      <c r="D43" s="3">
        <v>67414.5</v>
      </c>
      <c r="E43" s="6">
        <v>-1.750037306514177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cols>
    <col min="1" max="1" width="10" customWidth="1"/>
    <col min="2" max="2" width="23" customWidth="1"/>
    <col min="3" max="3" width="26" customWidth="1"/>
  </cols>
  <sheetData>
    <row r="1" spans="1:3" x14ac:dyDescent="0.25">
      <c r="A1" s="2" t="s">
        <v>226</v>
      </c>
      <c r="B1" s="2" t="s">
        <v>227</v>
      </c>
      <c r="C1" s="2" t="s">
        <v>236</v>
      </c>
    </row>
    <row r="2" spans="1:3" x14ac:dyDescent="0.25">
      <c r="A2" t="s">
        <v>220</v>
      </c>
      <c r="B2" t="s">
        <v>20</v>
      </c>
      <c r="C2" s="3">
        <v>89426.53</v>
      </c>
    </row>
    <row r="3" spans="1:3" x14ac:dyDescent="0.25">
      <c r="A3" t="s">
        <v>220</v>
      </c>
      <c r="B3" t="s">
        <v>119</v>
      </c>
      <c r="C3" s="3">
        <v>100</v>
      </c>
    </row>
    <row r="4" spans="1:3" x14ac:dyDescent="0.25">
      <c r="A4" t="s">
        <v>220</v>
      </c>
      <c r="B4" t="s">
        <v>231</v>
      </c>
      <c r="C4" s="3">
        <v>89526.53</v>
      </c>
    </row>
    <row r="5" spans="1:3" x14ac:dyDescent="0.25">
      <c r="A5" t="s">
        <v>232</v>
      </c>
      <c r="B5" t="s">
        <v>88</v>
      </c>
      <c r="C5" s="3">
        <v>15</v>
      </c>
    </row>
    <row r="6" spans="1:3" x14ac:dyDescent="0.25">
      <c r="A6" t="s">
        <v>232</v>
      </c>
      <c r="B6" t="s">
        <v>16</v>
      </c>
      <c r="C6" s="3">
        <v>2033.44</v>
      </c>
    </row>
    <row r="7" spans="1:3" x14ac:dyDescent="0.25">
      <c r="A7" t="s">
        <v>232</v>
      </c>
      <c r="B7" t="s">
        <v>25</v>
      </c>
      <c r="C7" s="3">
        <v>32100</v>
      </c>
    </row>
    <row r="8" spans="1:3" x14ac:dyDescent="0.25">
      <c r="A8" t="s">
        <v>232</v>
      </c>
      <c r="B8" t="s">
        <v>109</v>
      </c>
      <c r="C8" s="3">
        <v>15115.44</v>
      </c>
    </row>
    <row r="9" spans="1:3" x14ac:dyDescent="0.25">
      <c r="A9" t="s">
        <v>232</v>
      </c>
      <c r="B9" t="s">
        <v>132</v>
      </c>
      <c r="C9" s="3">
        <v>868.39</v>
      </c>
    </row>
    <row r="10" spans="1:3" x14ac:dyDescent="0.25">
      <c r="A10" t="s">
        <v>232</v>
      </c>
      <c r="B10" t="s">
        <v>73</v>
      </c>
      <c r="C10" s="3">
        <v>45</v>
      </c>
    </row>
    <row r="11" spans="1:3" x14ac:dyDescent="0.25">
      <c r="A11" t="s">
        <v>232</v>
      </c>
      <c r="B11" t="s">
        <v>38</v>
      </c>
      <c r="C11" s="3">
        <v>5793.58</v>
      </c>
    </row>
    <row r="12" spans="1:3" x14ac:dyDescent="0.25">
      <c r="A12" t="s">
        <v>232</v>
      </c>
      <c r="B12" t="s">
        <v>35</v>
      </c>
      <c r="C12" s="3">
        <v>186.25</v>
      </c>
    </row>
    <row r="13" spans="1:3" x14ac:dyDescent="0.25">
      <c r="A13" t="s">
        <v>232</v>
      </c>
      <c r="B13" t="s">
        <v>30</v>
      </c>
      <c r="C13" s="3">
        <v>8091.56</v>
      </c>
    </row>
    <row r="14" spans="1:3" x14ac:dyDescent="0.25">
      <c r="A14" t="s">
        <v>232</v>
      </c>
      <c r="B14" t="s">
        <v>233</v>
      </c>
      <c r="C14" s="3">
        <v>64248.66</v>
      </c>
    </row>
    <row r="15" spans="1:3" x14ac:dyDescent="0.25">
      <c r="A15" t="s">
        <v>234</v>
      </c>
      <c r="B15" t="s">
        <v>235</v>
      </c>
      <c r="C15" s="3">
        <v>25277.87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5" x14ac:dyDescent="0.25"/>
  <cols>
    <col min="1" max="1" width="13" customWidth="1"/>
    <col min="2" max="2" width="25" customWidth="1"/>
    <col min="3" max="3" width="20" customWidth="1"/>
  </cols>
  <sheetData>
    <row r="1" spans="1:3" x14ac:dyDescent="0.25">
      <c r="A1" s="2" t="s">
        <v>226</v>
      </c>
      <c r="B1" s="2" t="s">
        <v>227</v>
      </c>
      <c r="C1" s="2" t="s">
        <v>237</v>
      </c>
    </row>
    <row r="2" spans="1:3" x14ac:dyDescent="0.25">
      <c r="A2" t="s">
        <v>238</v>
      </c>
      <c r="B2" t="s">
        <v>12</v>
      </c>
      <c r="C2" s="3">
        <v>35508.23000000001</v>
      </c>
    </row>
    <row r="3" spans="1:3" x14ac:dyDescent="0.25">
      <c r="A3" t="s">
        <v>238</v>
      </c>
      <c r="B3" t="s">
        <v>239</v>
      </c>
      <c r="C3" s="3">
        <v>35508.23000000001</v>
      </c>
    </row>
    <row r="4" spans="1:3" x14ac:dyDescent="0.25">
      <c r="A4" t="s">
        <v>240</v>
      </c>
      <c r="B4" t="s">
        <v>241</v>
      </c>
      <c r="C4" s="3">
        <v>0</v>
      </c>
    </row>
    <row r="5" spans="1:3" x14ac:dyDescent="0.25">
      <c r="A5" t="s">
        <v>242</v>
      </c>
      <c r="B5" t="s">
        <v>49</v>
      </c>
      <c r="C5" s="3">
        <v>-2100</v>
      </c>
    </row>
    <row r="6" spans="1:3" x14ac:dyDescent="0.25">
      <c r="A6" t="s">
        <v>242</v>
      </c>
      <c r="B6" t="s">
        <v>11</v>
      </c>
      <c r="C6" s="3">
        <v>0</v>
      </c>
    </row>
    <row r="7" spans="1:3" x14ac:dyDescent="0.25">
      <c r="A7" t="s">
        <v>242</v>
      </c>
      <c r="B7" t="s">
        <v>243</v>
      </c>
      <c r="C7" s="3">
        <v>25277.87</v>
      </c>
    </row>
    <row r="8" spans="1:3" x14ac:dyDescent="0.25">
      <c r="A8" t="s">
        <v>242</v>
      </c>
      <c r="B8" t="s">
        <v>244</v>
      </c>
      <c r="C8" s="3">
        <v>23177.87</v>
      </c>
    </row>
    <row r="9" spans="1:3" x14ac:dyDescent="0.25">
      <c r="A9" t="s">
        <v>245</v>
      </c>
      <c r="B9" t="s">
        <v>246</v>
      </c>
      <c r="C9" s="3">
        <v>12330.36000000001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/>
  </sheetViews>
  <sheetFormatPr defaultRowHeight="15" x14ac:dyDescent="0.25"/>
  <cols>
    <col min="1" max="1" width="11" customWidth="1"/>
    <col min="2" max="2" width="25" customWidth="1"/>
    <col min="3" max="3" width="20" customWidth="1"/>
  </cols>
  <sheetData>
    <row r="1" spans="1:3" x14ac:dyDescent="0.25">
      <c r="A1" s="2" t="s">
        <v>226</v>
      </c>
      <c r="B1" s="2" t="s">
        <v>227</v>
      </c>
      <c r="C1" s="2" t="s">
        <v>247</v>
      </c>
    </row>
    <row r="2" spans="1:3" x14ac:dyDescent="0.25">
      <c r="A2" t="s">
        <v>248</v>
      </c>
      <c r="B2" t="s">
        <v>249</v>
      </c>
      <c r="C2" s="3">
        <v>25277.87</v>
      </c>
    </row>
    <row r="3" spans="1:3" x14ac:dyDescent="0.25">
      <c r="A3" t="s">
        <v>250</v>
      </c>
      <c r="B3" t="s">
        <v>251</v>
      </c>
      <c r="C3" s="3">
        <v>0</v>
      </c>
    </row>
    <row r="4" spans="1:3" x14ac:dyDescent="0.25">
      <c r="A4" t="s">
        <v>252</v>
      </c>
      <c r="B4" t="s">
        <v>253</v>
      </c>
      <c r="C4" s="3">
        <v>0</v>
      </c>
    </row>
    <row r="5" spans="1:3" x14ac:dyDescent="0.25">
      <c r="A5" t="s">
        <v>234</v>
      </c>
      <c r="B5" t="s">
        <v>254</v>
      </c>
      <c r="C5" s="3">
        <v>89988.27</v>
      </c>
    </row>
    <row r="6" spans="1:3" x14ac:dyDescent="0.25">
      <c r="A6" t="s">
        <v>234</v>
      </c>
      <c r="B6" t="s">
        <v>255</v>
      </c>
      <c r="C6" s="3">
        <v>-66810.399999999994</v>
      </c>
    </row>
    <row r="7" spans="1:3" x14ac:dyDescent="0.25">
      <c r="A7" t="s">
        <v>234</v>
      </c>
      <c r="B7" t="s">
        <v>256</v>
      </c>
      <c r="C7" s="3">
        <v>25277.87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Raw_GL</vt:lpstr>
      <vt:lpstr>Summary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O'Hara</cp:lastModifiedBy>
  <dcterms:created xsi:type="dcterms:W3CDTF">2026-03-14T19:17:41Z</dcterms:created>
  <dcterms:modified xsi:type="dcterms:W3CDTF">2026-03-14T19:26:06Z</dcterms:modified>
</cp:coreProperties>
</file>